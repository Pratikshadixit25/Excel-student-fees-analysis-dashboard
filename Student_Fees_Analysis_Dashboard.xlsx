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Data_Analytics\Excel\Student_Fees_Anlaysis_Dashboard\"/>
    </mc:Choice>
  </mc:AlternateContent>
  <xr:revisionPtr revIDLastSave="0" documentId="13_ncr:1_{B09CE16B-0283-4552-AB53-9B0D5E0D4CC7}" xr6:coauthVersionLast="47" xr6:coauthVersionMax="47" xr10:uidLastSave="{00000000-0000-0000-0000-000000000000}"/>
  <bookViews>
    <workbookView xWindow="-108" yWindow="-108" windowWidth="23256" windowHeight="12456" activeTab="2" xr2:uid="{00000000-000D-0000-FFFF-FFFF00000000}"/>
  </bookViews>
  <sheets>
    <sheet name="pivot_tables" sheetId="6" r:id="rId1"/>
    <sheet name="StudentFees" sheetId="1" r:id="rId2"/>
    <sheet name="Dashboard" sheetId="4" r:id="rId3"/>
    <sheet name="Tables" sheetId="5" r:id="rId4"/>
  </sheets>
  <definedNames>
    <definedName name="Slicer_Branch">#N/A</definedName>
    <definedName name="Slicer_Course">#N/A</definedName>
    <definedName name="Slicer_Fee_Status">#N/A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5" l="1"/>
  <c r="C7" i="5"/>
  <c r="C6" i="5"/>
  <c r="C4" i="5"/>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L4" i="1"/>
  <c r="H101" i="1"/>
  <c r="I101" i="1" s="1"/>
  <c r="H100" i="1"/>
  <c r="I100" i="1" s="1"/>
  <c r="H99" i="1"/>
  <c r="I99" i="1" s="1"/>
  <c r="H98" i="1"/>
  <c r="I98" i="1" s="1"/>
  <c r="H97" i="1"/>
  <c r="I97" i="1" s="1"/>
  <c r="H96" i="1"/>
  <c r="I96" i="1" s="1"/>
  <c r="H95" i="1"/>
  <c r="I95" i="1" s="1"/>
  <c r="H94" i="1"/>
  <c r="I94" i="1" s="1"/>
  <c r="H93" i="1"/>
  <c r="I93" i="1" s="1"/>
  <c r="H92" i="1"/>
  <c r="I92" i="1" s="1"/>
  <c r="H91" i="1"/>
  <c r="I91" i="1" s="1"/>
  <c r="H90" i="1"/>
  <c r="I90" i="1" s="1"/>
  <c r="H89" i="1"/>
  <c r="I89" i="1" s="1"/>
  <c r="H88" i="1"/>
  <c r="I88" i="1" s="1"/>
  <c r="H87" i="1"/>
  <c r="I87" i="1" s="1"/>
  <c r="H86" i="1"/>
  <c r="I86" i="1" s="1"/>
  <c r="H85" i="1"/>
  <c r="I85" i="1" s="1"/>
  <c r="H84" i="1"/>
  <c r="I84" i="1" s="1"/>
  <c r="H83" i="1"/>
  <c r="I83" i="1" s="1"/>
  <c r="H82" i="1"/>
  <c r="I82" i="1" s="1"/>
  <c r="H81" i="1"/>
  <c r="I81" i="1" s="1"/>
  <c r="H80" i="1"/>
  <c r="I80" i="1" s="1"/>
  <c r="H79" i="1"/>
  <c r="I79" i="1" s="1"/>
  <c r="H78" i="1"/>
  <c r="I78" i="1" s="1"/>
  <c r="H77" i="1"/>
  <c r="I77" i="1" s="1"/>
  <c r="H76" i="1"/>
  <c r="I76" i="1" s="1"/>
  <c r="H75" i="1"/>
  <c r="I75" i="1" s="1"/>
  <c r="H74" i="1"/>
  <c r="I74" i="1" s="1"/>
  <c r="H73" i="1"/>
  <c r="I73" i="1" s="1"/>
  <c r="H72" i="1"/>
  <c r="I72" i="1" s="1"/>
  <c r="H71" i="1"/>
  <c r="I71" i="1" s="1"/>
  <c r="H70" i="1"/>
  <c r="I70" i="1" s="1"/>
  <c r="H69" i="1"/>
  <c r="I69" i="1" s="1"/>
  <c r="H68" i="1"/>
  <c r="I68" i="1" s="1"/>
  <c r="H67" i="1"/>
  <c r="I67" i="1" s="1"/>
  <c r="H66" i="1"/>
  <c r="I66" i="1" s="1"/>
  <c r="H65" i="1"/>
  <c r="I65" i="1" s="1"/>
  <c r="H64" i="1"/>
  <c r="I64" i="1" s="1"/>
  <c r="H63" i="1"/>
  <c r="I63" i="1" s="1"/>
  <c r="H62" i="1"/>
  <c r="I62" i="1" s="1"/>
  <c r="H61" i="1"/>
  <c r="I61" i="1" s="1"/>
  <c r="H60" i="1"/>
  <c r="I60" i="1" s="1"/>
  <c r="H59" i="1"/>
  <c r="I59" i="1" s="1"/>
  <c r="H58" i="1"/>
  <c r="I58" i="1" s="1"/>
  <c r="H57" i="1"/>
  <c r="I57" i="1" s="1"/>
  <c r="H56" i="1"/>
  <c r="I56" i="1" s="1"/>
  <c r="H55" i="1"/>
  <c r="I55" i="1" s="1"/>
  <c r="H54" i="1"/>
  <c r="I54" i="1" s="1"/>
  <c r="H53" i="1"/>
  <c r="I53" i="1" s="1"/>
  <c r="H52" i="1"/>
  <c r="I52" i="1" s="1"/>
  <c r="H51" i="1"/>
  <c r="I51" i="1" s="1"/>
  <c r="H50" i="1"/>
  <c r="I50" i="1" s="1"/>
  <c r="H49" i="1"/>
  <c r="I49" i="1" s="1"/>
  <c r="H48" i="1"/>
  <c r="I48" i="1" s="1"/>
  <c r="H47" i="1"/>
  <c r="I47" i="1" s="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H32" i="1"/>
  <c r="I32" i="1" s="1"/>
  <c r="H31" i="1"/>
  <c r="I31" i="1" s="1"/>
  <c r="H30" i="1"/>
  <c r="I30" i="1" s="1"/>
  <c r="H29" i="1"/>
  <c r="I29" i="1" s="1"/>
  <c r="H28" i="1"/>
  <c r="I28" i="1" s="1"/>
  <c r="H27" i="1"/>
  <c r="I27" i="1" s="1"/>
  <c r="H26" i="1"/>
  <c r="I26" i="1" s="1"/>
  <c r="H25" i="1"/>
  <c r="I25" i="1" s="1"/>
  <c r="H24" i="1"/>
  <c r="I24" i="1" s="1"/>
  <c r="H23" i="1"/>
  <c r="I23" i="1" s="1"/>
  <c r="H22" i="1"/>
  <c r="I22" i="1" s="1"/>
  <c r="H21" i="1"/>
  <c r="I21" i="1" s="1"/>
  <c r="H20" i="1"/>
  <c r="I20" i="1" s="1"/>
  <c r="H19" i="1"/>
  <c r="I19" i="1" s="1"/>
  <c r="H18" i="1"/>
  <c r="I18" i="1" s="1"/>
  <c r="H17" i="1"/>
  <c r="I17" i="1" s="1"/>
  <c r="H16" i="1"/>
  <c r="I16" i="1" s="1"/>
  <c r="H15" i="1"/>
  <c r="I15" i="1" s="1"/>
  <c r="H14" i="1"/>
  <c r="I14" i="1" s="1"/>
  <c r="H13" i="1"/>
  <c r="I13" i="1" s="1"/>
  <c r="H12" i="1"/>
  <c r="I12" i="1" s="1"/>
  <c r="H11" i="1"/>
  <c r="I11" i="1" s="1"/>
  <c r="H10" i="1"/>
  <c r="I10" i="1" s="1"/>
  <c r="H9" i="1"/>
  <c r="I9" i="1" s="1"/>
  <c r="H8" i="1"/>
  <c r="I8" i="1" s="1"/>
  <c r="H7" i="1"/>
  <c r="I7" i="1" s="1"/>
  <c r="H6" i="1"/>
  <c r="I6" i="1" s="1"/>
  <c r="H5" i="1"/>
  <c r="I5" i="1" s="1"/>
  <c r="H4" i="1"/>
  <c r="I4" i="1" s="1"/>
  <c r="H3" i="1"/>
  <c r="I3" i="1" s="1"/>
  <c r="H2" i="1"/>
  <c r="I2" i="1" l="1"/>
</calcChain>
</file>

<file path=xl/sharedStrings.xml><?xml version="1.0" encoding="utf-8"?>
<sst xmlns="http://schemas.openxmlformats.org/spreadsheetml/2006/main" count="559" uniqueCount="246">
  <si>
    <t>Reg Number</t>
  </si>
  <si>
    <t>Student Name</t>
  </si>
  <si>
    <t>Branch</t>
  </si>
  <si>
    <t>Course</t>
  </si>
  <si>
    <t>Admission Date</t>
  </si>
  <si>
    <t>Total Fee</t>
  </si>
  <si>
    <t>Paid Fees</t>
  </si>
  <si>
    <t>Remaining Fees</t>
  </si>
  <si>
    <t>Fee Status</t>
  </si>
  <si>
    <t>Payment Mode</t>
  </si>
  <si>
    <t>REG-0001</t>
  </si>
  <si>
    <t>Anjali Desai</t>
  </si>
  <si>
    <t>Mumbai</t>
  </si>
  <si>
    <t>Web Development</t>
  </si>
  <si>
    <t>Cash</t>
  </si>
  <si>
    <t>REG-0002</t>
  </si>
  <si>
    <t>Mayuri Jadhav</t>
  </si>
  <si>
    <t>Pune</t>
  </si>
  <si>
    <t>Digital Marketing</t>
  </si>
  <si>
    <t>Net Banking</t>
  </si>
  <si>
    <t>REG-0003</t>
  </si>
  <si>
    <t>Rutuja Mane</t>
  </si>
  <si>
    <t>Nashik</t>
  </si>
  <si>
    <t>Power BI</t>
  </si>
  <si>
    <t>Credit Card</t>
  </si>
  <si>
    <t>REG-0004</t>
  </si>
  <si>
    <t>Pratik Kale</t>
  </si>
  <si>
    <t>Data Analytics</t>
  </si>
  <si>
    <t>Debit Card</t>
  </si>
  <si>
    <t>REG-0005</t>
  </si>
  <si>
    <t>Gauri Sawant</t>
  </si>
  <si>
    <t>REG-0006</t>
  </si>
  <si>
    <t>Riya Ingale</t>
  </si>
  <si>
    <t>UPI</t>
  </si>
  <si>
    <t>REG-0007</t>
  </si>
  <si>
    <t>Aarav Kale</t>
  </si>
  <si>
    <t>Solapur</t>
  </si>
  <si>
    <t>REG-0008</t>
  </si>
  <si>
    <t>Rasika Waghmare</t>
  </si>
  <si>
    <t>Java Development</t>
  </si>
  <si>
    <t>REG-0009</t>
  </si>
  <si>
    <t>Vishal Phadtare</t>
  </si>
  <si>
    <t>Python Programming</t>
  </si>
  <si>
    <t>REG-0010</t>
  </si>
  <si>
    <t>Aditya Lokhande</t>
  </si>
  <si>
    <t>REG-0011</t>
  </si>
  <si>
    <t>Prachi Sharma</t>
  </si>
  <si>
    <t>Kolhapur</t>
  </si>
  <si>
    <t>REG-0012</t>
  </si>
  <si>
    <t>Shubham Joshi</t>
  </si>
  <si>
    <t>REG-0013</t>
  </si>
  <si>
    <t>Divya Bhosale</t>
  </si>
  <si>
    <t>REG-0014</t>
  </si>
  <si>
    <t>Rutuja Phadtare</t>
  </si>
  <si>
    <t>REG-0015</t>
  </si>
  <si>
    <t>Pooja Dixit</t>
  </si>
  <si>
    <t>REG-0016</t>
  </si>
  <si>
    <t>Nisha Kamble</t>
  </si>
  <si>
    <t>REG-0017</t>
  </si>
  <si>
    <t>Neha Kale</t>
  </si>
  <si>
    <t>REG-0018</t>
  </si>
  <si>
    <t>Payal Birajdar</t>
  </si>
  <si>
    <t>REG-0019</t>
  </si>
  <si>
    <t>Vivaan Shaikh</t>
  </si>
  <si>
    <t>REG-0020</t>
  </si>
  <si>
    <t>Manasi Birajdar</t>
  </si>
  <si>
    <t>REG-0021</t>
  </si>
  <si>
    <t>Gauri Naik</t>
  </si>
  <si>
    <t>REG-0022</t>
  </si>
  <si>
    <t>Pallavi Shinde</t>
  </si>
  <si>
    <t>REG-0023</t>
  </si>
  <si>
    <t>Swati Phadtare</t>
  </si>
  <si>
    <t>REG-0024</t>
  </si>
  <si>
    <t>Shubham Sharma</t>
  </si>
  <si>
    <t>REG-0025</t>
  </si>
  <si>
    <t>Madhuri Waghmare</t>
  </si>
  <si>
    <t>REG-0026</t>
  </si>
  <si>
    <t>Komal Jadhav</t>
  </si>
  <si>
    <t>REG-0027</t>
  </si>
  <si>
    <t>Shubham Mane</t>
  </si>
  <si>
    <t>REG-0028</t>
  </si>
  <si>
    <t>Harsh Phadtare</t>
  </si>
  <si>
    <t>REG-0029</t>
  </si>
  <si>
    <t>Riya Naik</t>
  </si>
  <si>
    <t>REG-0030</t>
  </si>
  <si>
    <t>Divya Salunkhe</t>
  </si>
  <si>
    <t>REG-0031</t>
  </si>
  <si>
    <t>Tejaswini Bhosale</t>
  </si>
  <si>
    <t>REG-0032</t>
  </si>
  <si>
    <t>Ankita Kale</t>
  </si>
  <si>
    <t>REG-0033</t>
  </si>
  <si>
    <t>Pallavi Birajdar</t>
  </si>
  <si>
    <t>REG-0034</t>
  </si>
  <si>
    <t>Aarav Jadhav</t>
  </si>
  <si>
    <t>REG-0035</t>
  </si>
  <si>
    <t>Harsh Waghmare</t>
  </si>
  <si>
    <t>REG-0036</t>
  </si>
  <si>
    <t>Vishal Patil</t>
  </si>
  <si>
    <t>REG-0037</t>
  </si>
  <si>
    <t>Ganesh Patil</t>
  </si>
  <si>
    <t>REG-0038</t>
  </si>
  <si>
    <t>Gauri Kale</t>
  </si>
  <si>
    <t>REG-0039</t>
  </si>
  <si>
    <t>Sakshi Chavan</t>
  </si>
  <si>
    <t>REG-0040</t>
  </si>
  <si>
    <t>Manasi Phadtare</t>
  </si>
  <si>
    <t>REG-0041</t>
  </si>
  <si>
    <t>Prachi Salunkhe</t>
  </si>
  <si>
    <t>REG-0042</t>
  </si>
  <si>
    <t>Riya Phadtare</t>
  </si>
  <si>
    <t>REG-0043</t>
  </si>
  <si>
    <t>Prachi Birajdar</t>
  </si>
  <si>
    <t>REG-0044</t>
  </si>
  <si>
    <t>Aditya Waghmare</t>
  </si>
  <si>
    <t>REG-0045</t>
  </si>
  <si>
    <t>Tejaswini Mulla</t>
  </si>
  <si>
    <t>REG-0046</t>
  </si>
  <si>
    <t>Payal Kulkarni</t>
  </si>
  <si>
    <t>REG-0047</t>
  </si>
  <si>
    <t>Nikhil Mane</t>
  </si>
  <si>
    <t>REG-0048</t>
  </si>
  <si>
    <t>Komal Mulla</t>
  </si>
  <si>
    <t>REG-0049</t>
  </si>
  <si>
    <t>Omkar Sharma</t>
  </si>
  <si>
    <t>REG-0050</t>
  </si>
  <si>
    <t>Shubham Gupta</t>
  </si>
  <si>
    <t>REG-0051</t>
  </si>
  <si>
    <t>Kavita Gupta</t>
  </si>
  <si>
    <t>REG-0052</t>
  </si>
  <si>
    <t>Yash Bhosale</t>
  </si>
  <si>
    <t>REG-0053</t>
  </si>
  <si>
    <t>Aishwarya Thorat</t>
  </si>
  <si>
    <t>REG-0054</t>
  </si>
  <si>
    <t>Prachi Shaikh</t>
  </si>
  <si>
    <t>REG-0055</t>
  </si>
  <si>
    <t>Riya Thorat</t>
  </si>
  <si>
    <t>REG-0056</t>
  </si>
  <si>
    <t>Snehal Birajdar</t>
  </si>
  <si>
    <t>REG-0057</t>
  </si>
  <si>
    <t>Akash Lokhande</t>
  </si>
  <si>
    <t>REG-0058</t>
  </si>
  <si>
    <t>Pallavi Thorat</t>
  </si>
  <si>
    <t>REG-0059</t>
  </si>
  <si>
    <t>Shruti Shinde</t>
  </si>
  <si>
    <t>REG-0060</t>
  </si>
  <si>
    <t>Tushar Sawant</t>
  </si>
  <si>
    <t>REG-0061</t>
  </si>
  <si>
    <t>Payal Joshi</t>
  </si>
  <si>
    <t>REG-0062</t>
  </si>
  <si>
    <t>Tejaswini Dixit</t>
  </si>
  <si>
    <t>REG-0063</t>
  </si>
  <si>
    <t>Sagar Gaikwad</t>
  </si>
  <si>
    <t>REG-0064</t>
  </si>
  <si>
    <t>Payal Waghmare</t>
  </si>
  <si>
    <t>REG-0065</t>
  </si>
  <si>
    <t>Rohan Naik</t>
  </si>
  <si>
    <t>REG-0066</t>
  </si>
  <si>
    <t>Pratik More</t>
  </si>
  <si>
    <t>REG-0067</t>
  </si>
  <si>
    <t>Kunal Joshi</t>
  </si>
  <si>
    <t>REG-0068</t>
  </si>
  <si>
    <t>Pratik Phadtare</t>
  </si>
  <si>
    <t>REG-0069</t>
  </si>
  <si>
    <t>Suraj Patil</t>
  </si>
  <si>
    <t>REG-0070</t>
  </si>
  <si>
    <t>Tejaswini Mane</t>
  </si>
  <si>
    <t>REG-0071</t>
  </si>
  <si>
    <t>Amit Salunkhe</t>
  </si>
  <si>
    <t>REG-0072</t>
  </si>
  <si>
    <t>Swati Sharma</t>
  </si>
  <si>
    <t>REG-0073</t>
  </si>
  <si>
    <t>Kunal Kamble</t>
  </si>
  <si>
    <t>REG-0074</t>
  </si>
  <si>
    <t>Rasika Ingale</t>
  </si>
  <si>
    <t>REG-0075</t>
  </si>
  <si>
    <t>Sayali Ingale</t>
  </si>
  <si>
    <t>REG-0076</t>
  </si>
  <si>
    <t>Kavita Dixit</t>
  </si>
  <si>
    <t>REG-0077</t>
  </si>
  <si>
    <t>Vaishnavi Mulla</t>
  </si>
  <si>
    <t>REG-0078</t>
  </si>
  <si>
    <t>Swati Kale</t>
  </si>
  <si>
    <t>REG-0079</t>
  </si>
  <si>
    <t>Divya Ingale</t>
  </si>
  <si>
    <t>REG-0080</t>
  </si>
  <si>
    <t>Kavita Thorat</t>
  </si>
  <si>
    <t>REG-0081</t>
  </si>
  <si>
    <t>Divya Dixit</t>
  </si>
  <si>
    <t>REG-0082</t>
  </si>
  <si>
    <t>Apurva Lokhande</t>
  </si>
  <si>
    <t>REG-0083</t>
  </si>
  <si>
    <t>Shruti Shaikh</t>
  </si>
  <si>
    <t>REG-0084</t>
  </si>
  <si>
    <t>Manasi Chavan</t>
  </si>
  <si>
    <t>REG-0085</t>
  </si>
  <si>
    <t>Kavita Chavan</t>
  </si>
  <si>
    <t>REG-0086</t>
  </si>
  <si>
    <t>Apurva Sawant</t>
  </si>
  <si>
    <t>REG-0087</t>
  </si>
  <si>
    <t>Shubham Kamble</t>
  </si>
  <si>
    <t>REG-0088</t>
  </si>
  <si>
    <t>Sahil Gupta</t>
  </si>
  <si>
    <t>REG-0089</t>
  </si>
  <si>
    <t>Aditya Shinde</t>
  </si>
  <si>
    <t>REG-0090</t>
  </si>
  <si>
    <t>Madhuri Sawant</t>
  </si>
  <si>
    <t>REG-0091</t>
  </si>
  <si>
    <t>Sagar Chavan</t>
  </si>
  <si>
    <t>REG-0092</t>
  </si>
  <si>
    <t>Ankita Mulla</t>
  </si>
  <si>
    <t>REG-0093</t>
  </si>
  <si>
    <t>Sahil Desai</t>
  </si>
  <si>
    <t>REG-0094</t>
  </si>
  <si>
    <t>Aarav Lokhande</t>
  </si>
  <si>
    <t>REG-0095</t>
  </si>
  <si>
    <t>Harsh Ingale</t>
  </si>
  <si>
    <t>REG-0096</t>
  </si>
  <si>
    <t>Sagar Joshi</t>
  </si>
  <si>
    <t>REG-0097</t>
  </si>
  <si>
    <t>Komal Sawant</t>
  </si>
  <si>
    <t>REG-0098</t>
  </si>
  <si>
    <t>Sneha Jadhav</t>
  </si>
  <si>
    <t>REG-0099</t>
  </si>
  <si>
    <t>Manasi Dixit</t>
  </si>
  <si>
    <t>REG-0100</t>
  </si>
  <si>
    <t>Nisha Sawant</t>
  </si>
  <si>
    <t>Total Students</t>
  </si>
  <si>
    <t>Total Fees</t>
  </si>
  <si>
    <t>Outstanding Fees</t>
  </si>
  <si>
    <t>Column1</t>
  </si>
  <si>
    <t>Collected Fees</t>
  </si>
  <si>
    <t>KPI Data</t>
  </si>
  <si>
    <t>Grand Total</t>
  </si>
  <si>
    <t>Sum of Paid Fees</t>
  </si>
  <si>
    <t>Course Wise Fees Collection</t>
  </si>
  <si>
    <t>Fees Collection</t>
  </si>
  <si>
    <t>StudentCount</t>
  </si>
  <si>
    <t>Branch Wise Student Count</t>
  </si>
  <si>
    <t>Fees Comparion</t>
  </si>
  <si>
    <t>Sum of Remaining Fees</t>
  </si>
  <si>
    <t>Branch Wise Fee Analysis</t>
  </si>
  <si>
    <t xml:space="preserve">Branch </t>
  </si>
  <si>
    <t>Paid fees Sum</t>
  </si>
  <si>
    <t>Remaining Fees Sum</t>
  </si>
  <si>
    <t>Course Wise Outstanding Fees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</si>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</sst>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5" formatCode="dd\-mmm\-yyyy"/>
    <numFmt numFmtId="166" formatCode="[&gt;=10000000]&quot;₹&quot;##\,##\,##\,##0;[&gt;=100000]&quot;₹&quot;##\,##\,##0;&quot;₹&quot;##,##0"/>
    <numFmt numFmtId="169" formatCode="_ * #,##0_ ;_ * \-#,##0_ ;_ * &quot;-&quot;??_ ;_ @_ "/>
  </numFmts>
  <fonts count="6" x14ac:knownFonts="1">
    <font>
      <sz val="11"/>
      <color theme="1"/>
      <name val="Calibri"/>
      <family val="2"/>
      <scheme val="minor"/>
    </font>
    <font>
      <b/>
      <sz val="11"/>
      <color rgb="FFFFFFFF"/>
      <name val="Arial"/>
    </font>
    <font>
      <sz val="10"/>
      <name val="Arial"/>
    </font>
    <font>
      <sz val="11"/>
      <color theme="1"/>
      <name val="Calibri"/>
      <family val="2"/>
      <scheme val="minor"/>
    </font>
    <font>
      <b/>
      <sz val="11"/>
      <color theme="1"/>
      <name val="Berlin Sans FB Demi"/>
      <family val="2"/>
    </font>
    <font>
      <sz val="11"/>
      <color theme="5" tint="-0.249977111117893"/>
      <name val="Arial Black"/>
      <family val="2"/>
    </font>
  </fonts>
  <fills count="6">
    <fill>
      <patternFill patternType="none"/>
    </fill>
    <fill>
      <patternFill patternType="gray125"/>
    </fill>
    <fill>
      <patternFill patternType="solid">
        <fgColor rgb="FF1F38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1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165" fontId="2" fillId="0" borderId="0" xfId="0" applyNumberFormat="1" applyFont="1" applyAlignment="1">
      <alignment horizontal="center" vertical="center"/>
    </xf>
    <xf numFmtId="166" fontId="2" fillId="0" borderId="0" xfId="0" applyNumberFormat="1" applyFont="1" applyAlignment="1">
      <alignment horizontal="right" vertical="center"/>
    </xf>
    <xf numFmtId="0" fontId="4" fillId="0" borderId="0" xfId="0" applyFont="1"/>
    <xf numFmtId="166" fontId="0" fillId="0" borderId="0" xfId="0" applyNumberFormat="1"/>
    <xf numFmtId="0" fontId="0" fillId="0" borderId="0" xfId="0" applyNumberFormat="1"/>
    <xf numFmtId="0" fontId="0" fillId="0" borderId="0" xfId="0" applyAlignment="1">
      <alignment horizontal="center"/>
    </xf>
    <xf numFmtId="0" fontId="0" fillId="4" borderId="1" xfId="0" applyFill="1" applyBorder="1"/>
    <xf numFmtId="169" fontId="0" fillId="4" borderId="1" xfId="1" applyNumberFormat="1" applyFont="1" applyFill="1" applyBorder="1"/>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5" borderId="0" xfId="0" applyFill="1" applyAlignment="1">
      <alignment horizontal="center"/>
    </xf>
    <xf numFmtId="0" fontId="5" fillId="0" borderId="0" xfId="0" applyFont="1" applyAlignment="1">
      <alignment horizontal="center"/>
    </xf>
  </cellXfs>
  <cellStyles count="2">
    <cellStyle name="Comma" xfId="1" builtinId="3"/>
    <cellStyle name="Normal" xfId="0" builtinId="0"/>
  </cellStyles>
  <dxfs count="1">
    <dxf>
      <numFmt numFmtId="0" formatCode="General"/>
    </dxf>
  </dxfs>
  <tableStyles count="1" defaultTableStyle="TableStyleMedium9" defaultPivotStyle="PivotStyleLight16">
    <tableStyle name="Slicer Style 1" pivot="0" table="0" count="0" xr9:uid="{F190B727-C307-4C36-93A9-AA61D219993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[Student_Fees_Analysis_Dashboard.xlsx]pivot_tables!PivotTable1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3">
                    <a:lumMod val="20000"/>
                    <a:lumOff val="80000"/>
                  </a:schemeClr>
                </a:solidFill>
                <a:latin typeface="Berlin Sans FB Demi" panose="020E0802020502020306" pitchFamily="34" charset="0"/>
              </a:rPr>
              <a:t>Course</a:t>
            </a:r>
            <a:r>
              <a:rPr lang="en-US" baseline="0">
                <a:solidFill>
                  <a:schemeClr val="accent3">
                    <a:lumMod val="20000"/>
                    <a:lumOff val="80000"/>
                  </a:schemeClr>
                </a:solidFill>
                <a:latin typeface="Berlin Sans FB Demi" panose="020E0802020502020306" pitchFamily="34" charset="0"/>
              </a:rPr>
              <a:t> Wise Fees Collection</a:t>
            </a:r>
            <a:endParaRPr lang="en-US">
              <a:solidFill>
                <a:schemeClr val="accent3">
                  <a:lumMod val="20000"/>
                  <a:lumOff val="80000"/>
                </a:schemeClr>
              </a:solidFill>
              <a:latin typeface="Berlin Sans FB Demi" panose="020E0802020502020306" pitchFamily="34" charset="0"/>
            </a:endParaRPr>
          </a:p>
        </c:rich>
      </c:tx>
      <c:layout>
        <c:manualLayout>
          <c:xMode val="edge"/>
          <c:yMode val="edge"/>
          <c:x val="0.20283333333333339"/>
          <c:y val="3.6016331291921846E-2"/>
        </c:manualLayout>
      </c:layout>
      <c:overlay val="0"/>
      <c:spPr>
        <a:solidFill>
          <a:schemeClr val="accent3">
            <a:lumMod val="60000"/>
            <a:lumOff val="4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pivot_tables!$A$4:$A$10</c:f>
              <c:strCache>
                <c:ptCount val="6"/>
                <c:pt idx="0">
                  <c:v>Data Analytics</c:v>
                </c:pt>
                <c:pt idx="1">
                  <c:v>Digital Marketing</c:v>
                </c:pt>
                <c:pt idx="2">
                  <c:v>Java Development</c:v>
                </c:pt>
                <c:pt idx="3">
                  <c:v>Power BI</c:v>
                </c:pt>
                <c:pt idx="4">
                  <c:v>Python Programming</c:v>
                </c:pt>
                <c:pt idx="5">
                  <c:v>Web Development</c:v>
                </c:pt>
              </c:strCache>
            </c:strRef>
          </c:cat>
          <c:val>
            <c:numRef>
              <c:f>pivot_tables!$B$4:$B$10</c:f>
              <c:numCache>
                <c:formatCode>[&gt;=10000000]"₹"##\,##\,##\,##0;[&gt;=100000]"₹"##\,##\,##0;"₹"##,##0</c:formatCode>
                <c:ptCount val="6"/>
                <c:pt idx="0">
                  <c:v>523000</c:v>
                </c:pt>
                <c:pt idx="1">
                  <c:v>373000</c:v>
                </c:pt>
                <c:pt idx="2">
                  <c:v>399500</c:v>
                </c:pt>
                <c:pt idx="3">
                  <c:v>79500</c:v>
                </c:pt>
                <c:pt idx="4">
                  <c:v>259000</c:v>
                </c:pt>
                <c:pt idx="5">
                  <c:v>621000</c:v>
                </c:pt>
              </c:numCache>
            </c:numRef>
          </c:val>
          <c:extLst>
            <c:ext xmlns:c16="http://schemas.microsoft.com/office/drawing/2014/chart" uri="{C3380CC4-5D6E-409C-BE32-E72D297353CC}">
              <c16:uniqueId val="{00000000-78A7-4C34-9DFC-E70B5E20A706}"/>
            </c:ext>
          </c:extLst>
        </c:ser>
        <c:dLbls>
          <c:dLblPos val="outEnd"/>
          <c:showLegendKey val="0"/>
          <c:showVal val="1"/>
          <c:showCatName val="0"/>
          <c:showSerName val="0"/>
          <c:showPercent val="0"/>
          <c:showBubbleSize val="0"/>
        </c:dLbls>
        <c:gapWidth val="444"/>
        <c:overlap val="-90"/>
        <c:axId val="1111665200"/>
        <c:axId val="1111665680"/>
      </c:barChart>
      <c:catAx>
        <c:axId val="111166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800" b="0" i="0" u="none" strike="noStrike" kern="1200" cap="all" spc="120" normalizeH="0" baseline="0">
                <a:ln w="6350">
                  <a:solidFill>
                    <a:schemeClr val="accent3">
                      <a:shade val="95000"/>
                      <a:satMod val="105000"/>
                    </a:schemeClr>
                  </a:solidFill>
                </a:ln>
                <a:solidFill>
                  <a:schemeClr val="dk1"/>
                </a:solidFill>
                <a:effectLst>
                  <a:outerShdw blurRad="50800" dist="50800" dir="5400000" algn="ctr" rotWithShape="0">
                    <a:schemeClr val="accent3">
                      <a:lumMod val="75000"/>
                    </a:schemeClr>
                  </a:outerShdw>
                </a:effectLst>
                <a:latin typeface="+mn-lt"/>
                <a:ea typeface="+mn-ea"/>
                <a:cs typeface="+mn-cs"/>
              </a:defRPr>
            </a:pPr>
            <a:endParaRPr lang="en-US"/>
          </a:p>
        </c:txPr>
        <c:crossAx val="1111665680"/>
        <c:crosses val="autoZero"/>
        <c:auto val="1"/>
        <c:lblAlgn val="ctr"/>
        <c:lblOffset val="100"/>
        <c:noMultiLvlLbl val="0"/>
      </c:catAx>
      <c:valAx>
        <c:axId val="1111665680"/>
        <c:scaling>
          <c:orientation val="minMax"/>
        </c:scaling>
        <c:delete val="1"/>
        <c:axPos val="l"/>
        <c:numFmt formatCode="[&gt;=10000000]&quot;₹&quot;##\,##\,##\,##0;[&gt;=100000]&quot;₹&quot;##\,##\,##0;&quot;₹&quot;##,##0" sourceLinked="1"/>
        <c:majorTickMark val="none"/>
        <c:minorTickMark val="none"/>
        <c:tickLblPos val="nextTo"/>
        <c:crossAx val="11116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Branch</a:t>
            </a:r>
            <a:r>
              <a:rPr lang="en-IN" baseline="0"/>
              <a:t> Wise Student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pivot_tables!$B$24</c:f>
              <c:strCache>
                <c:ptCount val="1"/>
                <c:pt idx="0">
                  <c:v>Total</c:v>
                </c:pt>
              </c:strCache>
            </c:strRef>
          </c:tx>
          <c:spPr>
            <a:solidFill>
              <a:schemeClr val="accent1"/>
            </a:solidFill>
            <a:ln>
              <a:noFill/>
            </a:ln>
            <a:effectLst/>
          </c:spPr>
          <c:invertIfNegative val="0"/>
          <c:cat>
            <c:strRef>
              <c:f>pivot_tables!$A$25:$A$30</c:f>
              <c:strCache>
                <c:ptCount val="5"/>
                <c:pt idx="0">
                  <c:v>Kolhapur</c:v>
                </c:pt>
                <c:pt idx="1">
                  <c:v>Mumbai</c:v>
                </c:pt>
                <c:pt idx="2">
                  <c:v>Nashik</c:v>
                </c:pt>
                <c:pt idx="3">
                  <c:v>Pune</c:v>
                </c:pt>
                <c:pt idx="4">
                  <c:v>Solapur</c:v>
                </c:pt>
              </c:strCache>
            </c:strRef>
          </c:cat>
          <c:val>
            <c:numRef>
              <c:f>pivot_tables!$B$25:$B$30</c:f>
              <c:numCache>
                <c:formatCode>General</c:formatCode>
                <c:ptCount val="5"/>
                <c:pt idx="0">
                  <c:v>13</c:v>
                </c:pt>
                <c:pt idx="1">
                  <c:v>23</c:v>
                </c:pt>
                <c:pt idx="2">
                  <c:v>13</c:v>
                </c:pt>
                <c:pt idx="3">
                  <c:v>29</c:v>
                </c:pt>
                <c:pt idx="4">
                  <c:v>22</c:v>
                </c:pt>
              </c:numCache>
            </c:numRef>
          </c:val>
          <c:extLst>
            <c:ext xmlns:c16="http://schemas.microsoft.com/office/drawing/2014/chart" uri="{C3380CC4-5D6E-409C-BE32-E72D297353CC}">
              <c16:uniqueId val="{00000000-E108-495B-BE8D-75E523CE5BF3}"/>
            </c:ext>
          </c:extLst>
        </c:ser>
        <c:dLbls>
          <c:showLegendKey val="0"/>
          <c:showVal val="0"/>
          <c:showCatName val="0"/>
          <c:showSerName val="0"/>
          <c:showPercent val="0"/>
          <c:showBubbleSize val="0"/>
        </c:dLbls>
        <c:gapWidth val="182"/>
        <c:axId val="1162976688"/>
        <c:axId val="1162977168"/>
      </c:barChart>
      <c:catAx>
        <c:axId val="116297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977168"/>
        <c:crosses val="autoZero"/>
        <c:auto val="1"/>
        <c:lblAlgn val="ctr"/>
        <c:lblOffset val="100"/>
        <c:noMultiLvlLbl val="0"/>
      </c:catAx>
      <c:valAx>
        <c:axId val="116297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9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[Student_Fees_Analysis_Dashboard.xlsx]pivot_tables!PivotTable3</c:name>
    <c:fmtId val="2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38411501915937485"/>
              <c:y val="7.975612031780436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816054677008669"/>
                  <c:h val="0.2173547164665437"/>
                </c:manualLayout>
              </c15:layout>
            </c:ext>
          </c:extLst>
        </c:dLbl>
      </c:pivotFmt>
      <c:pivotFmt>
        <c:idx val="3"/>
        <c:dLbl>
          <c:idx val="0"/>
          <c:layout>
            <c:manualLayout>
              <c:x val="-0.21766517752364575"/>
              <c:y val="-0.37979104913240175"/>
            </c:manualLayout>
          </c:layout>
          <c:spPr>
            <a:pattFill prst="pct5">
              <a:fgClr>
                <a:sysClr val="windowText" lastClr="000000">
                  <a:lumMod val="75000"/>
                  <a:lumOff val="25000"/>
                </a:sysClr>
              </a:fgClr>
              <a:bgClr>
                <a:schemeClr val="accent3">
                  <a:lumMod val="7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381019515865861"/>
                  <c:h val="0.14899232762271139"/>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pivot_tables!$L$3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pivot_tables!$K$4:$K$5</c:f>
              <c:strCache>
                <c:ptCount val="2"/>
                <c:pt idx="0">
                  <c:v>Sum of Paid Fees</c:v>
                </c:pt>
                <c:pt idx="1">
                  <c:v>Sum of Remaining Fees</c:v>
                </c:pt>
              </c:strCache>
            </c:strRef>
          </c:cat>
          <c:val>
            <c:numRef>
              <c:f>pivot_tables!$L$4:$L$5</c:f>
              <c:numCache>
                <c:formatCode>[&gt;=10000000]"₹"##\,##\,##\,##0;[&gt;=100000]"₹"##\,##\,##0;"₹"##,##0</c:formatCode>
                <c:ptCount val="2"/>
                <c:pt idx="0">
                  <c:v>2255000</c:v>
                </c:pt>
                <c:pt idx="1">
                  <c:v>1313000</c:v>
                </c:pt>
              </c:numCache>
            </c:numRef>
          </c:val>
          <c:extLst>
            <c:ext xmlns:c16="http://schemas.microsoft.com/office/drawing/2014/chart" uri="{C3380CC4-5D6E-409C-BE32-E72D297353CC}">
              <c16:uniqueId val="{00000005-46D3-40A1-8087-1F04ECCCA40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[Student_Fees_Analysis_Dashboard.xlsx]pivot_tables!PivotTable4</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pivot_tables!$L$24</c:f>
              <c:strCache>
                <c:ptCount val="1"/>
                <c:pt idx="0">
                  <c:v>Paid fees Sum</c:v>
                </c:pt>
              </c:strCache>
            </c:strRef>
          </c:tx>
          <c:spPr>
            <a:solidFill>
              <a:schemeClr val="accent1"/>
            </a:solidFill>
            <a:ln>
              <a:noFill/>
            </a:ln>
            <a:effectLst/>
          </c:spPr>
          <c:invertIfNegative val="0"/>
          <c:cat>
            <c:strRef>
              <c:f>pivot_tables!$K$25:$K$30</c:f>
              <c:strCache>
                <c:ptCount val="5"/>
                <c:pt idx="0">
                  <c:v>Kolhapur</c:v>
                </c:pt>
                <c:pt idx="1">
                  <c:v>Mumbai</c:v>
                </c:pt>
                <c:pt idx="2">
                  <c:v>Nashik</c:v>
                </c:pt>
                <c:pt idx="3">
                  <c:v>Pune</c:v>
                </c:pt>
                <c:pt idx="4">
                  <c:v>Solapur</c:v>
                </c:pt>
              </c:strCache>
            </c:strRef>
          </c:cat>
          <c:val>
            <c:numRef>
              <c:f>pivot_tables!$L$25:$L$30</c:f>
              <c:numCache>
                <c:formatCode>[&gt;=10000000]"₹"##\,##\,##\,##0;[&gt;=100000]"₹"##\,##\,##0;"₹"##,##0</c:formatCode>
                <c:ptCount val="5"/>
                <c:pt idx="0">
                  <c:v>326500</c:v>
                </c:pt>
                <c:pt idx="1">
                  <c:v>467000</c:v>
                </c:pt>
                <c:pt idx="2">
                  <c:v>266500</c:v>
                </c:pt>
                <c:pt idx="3">
                  <c:v>757000</c:v>
                </c:pt>
                <c:pt idx="4">
                  <c:v>438000</c:v>
                </c:pt>
              </c:numCache>
            </c:numRef>
          </c:val>
          <c:extLst>
            <c:ext xmlns:c16="http://schemas.microsoft.com/office/drawing/2014/chart" uri="{C3380CC4-5D6E-409C-BE32-E72D297353CC}">
              <c16:uniqueId val="{00000000-8D6A-4F88-95DE-FB15604835A0}"/>
            </c:ext>
          </c:extLst>
        </c:ser>
        <c:ser>
          <c:idx val="1"/>
          <c:order val="1"/>
          <c:tx>
            <c:strRef>
              <c:f>pivot_tables!$M$24</c:f>
              <c:strCache>
                <c:ptCount val="1"/>
                <c:pt idx="0">
                  <c:v>Remaining Fees Sum</c:v>
                </c:pt>
              </c:strCache>
            </c:strRef>
          </c:tx>
          <c:spPr>
            <a:solidFill>
              <a:schemeClr val="accent2"/>
            </a:solidFill>
            <a:ln>
              <a:noFill/>
            </a:ln>
            <a:effectLst/>
          </c:spPr>
          <c:invertIfNegative val="0"/>
          <c:cat>
            <c:strRef>
              <c:f>pivot_tables!$K$25:$K$30</c:f>
              <c:strCache>
                <c:ptCount val="5"/>
                <c:pt idx="0">
                  <c:v>Kolhapur</c:v>
                </c:pt>
                <c:pt idx="1">
                  <c:v>Mumbai</c:v>
                </c:pt>
                <c:pt idx="2">
                  <c:v>Nashik</c:v>
                </c:pt>
                <c:pt idx="3">
                  <c:v>Pune</c:v>
                </c:pt>
                <c:pt idx="4">
                  <c:v>Solapur</c:v>
                </c:pt>
              </c:strCache>
            </c:strRef>
          </c:cat>
          <c:val>
            <c:numRef>
              <c:f>pivot_tables!$M$25:$M$30</c:f>
              <c:numCache>
                <c:formatCode>[&gt;=10000000]"₹"##\,##\,##\,##0;[&gt;=100000]"₹"##\,##\,##0;"₹"##,##0</c:formatCode>
                <c:ptCount val="5"/>
                <c:pt idx="0">
                  <c:v>128500</c:v>
                </c:pt>
                <c:pt idx="1">
                  <c:v>338000</c:v>
                </c:pt>
                <c:pt idx="2">
                  <c:v>176500</c:v>
                </c:pt>
                <c:pt idx="3">
                  <c:v>279000</c:v>
                </c:pt>
                <c:pt idx="4">
                  <c:v>391000</c:v>
                </c:pt>
              </c:numCache>
            </c:numRef>
          </c:val>
          <c:extLst>
            <c:ext xmlns:c16="http://schemas.microsoft.com/office/drawing/2014/chart" uri="{C3380CC4-5D6E-409C-BE32-E72D297353CC}">
              <c16:uniqueId val="{00000001-8D6A-4F88-95DE-FB15604835A0}"/>
            </c:ext>
          </c:extLst>
        </c:ser>
        <c:dLbls>
          <c:showLegendKey val="0"/>
          <c:showVal val="0"/>
          <c:showCatName val="0"/>
          <c:showSerName val="0"/>
          <c:showPercent val="0"/>
          <c:showBubbleSize val="0"/>
        </c:dLbls>
        <c:gapWidth val="219"/>
        <c:overlap val="-27"/>
        <c:axId val="1125312368"/>
        <c:axId val="1125312848"/>
      </c:barChart>
      <c:catAx>
        <c:axId val="112531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12848"/>
        <c:crosses val="autoZero"/>
        <c:auto val="1"/>
        <c:lblAlgn val="ctr"/>
        <c:lblOffset val="100"/>
        <c:noMultiLvlLbl val="0"/>
      </c:catAx>
      <c:valAx>
        <c:axId val="112531284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quot;##\,##\,##\,##0;[&gt;=10000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1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Course</a:t>
            </a:r>
            <a:r>
              <a:rPr lang="en-IN" baseline="0"/>
              <a:t> Wise Outstanding Fees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pivot_tables!$B$43</c:f>
              <c:strCache>
                <c:ptCount val="1"/>
                <c:pt idx="0">
                  <c:v>Total</c:v>
                </c:pt>
              </c:strCache>
            </c:strRef>
          </c:tx>
          <c:spPr>
            <a:solidFill>
              <a:schemeClr val="accent1"/>
            </a:solidFill>
            <a:ln>
              <a:noFill/>
            </a:ln>
            <a:effectLst/>
          </c:spPr>
          <c:invertIfNegative val="0"/>
          <c:cat>
            <c:strRef>
              <c:f>pivot_tables!$A$44:$A$50</c:f>
              <c:strCache>
                <c:ptCount val="6"/>
                <c:pt idx="0">
                  <c:v>Data Analytics</c:v>
                </c:pt>
                <c:pt idx="1">
                  <c:v>Digital Marketing</c:v>
                </c:pt>
                <c:pt idx="2">
                  <c:v>Java Development</c:v>
                </c:pt>
                <c:pt idx="3">
                  <c:v>Power BI</c:v>
                </c:pt>
                <c:pt idx="4">
                  <c:v>Python Programming</c:v>
                </c:pt>
                <c:pt idx="5">
                  <c:v>Web Development</c:v>
                </c:pt>
              </c:strCache>
            </c:strRef>
          </c:cat>
          <c:val>
            <c:numRef>
              <c:f>pivot_tables!$B$44:$B$50</c:f>
              <c:numCache>
                <c:formatCode>[&gt;=10000000]"₹"##\,##\,##\,##0;[&gt;=100000]"₹"##\,##\,##0;"₹"##,##0</c:formatCode>
                <c:ptCount val="6"/>
                <c:pt idx="0">
                  <c:v>418000</c:v>
                </c:pt>
                <c:pt idx="1">
                  <c:v>95000</c:v>
                </c:pt>
                <c:pt idx="2">
                  <c:v>156500</c:v>
                </c:pt>
                <c:pt idx="3">
                  <c:v>112500</c:v>
                </c:pt>
                <c:pt idx="4">
                  <c:v>95000</c:v>
                </c:pt>
                <c:pt idx="5">
                  <c:v>436000</c:v>
                </c:pt>
              </c:numCache>
            </c:numRef>
          </c:val>
          <c:extLst>
            <c:ext xmlns:c16="http://schemas.microsoft.com/office/drawing/2014/chart" uri="{C3380CC4-5D6E-409C-BE32-E72D297353CC}">
              <c16:uniqueId val="{00000000-D531-4701-9D50-9D29BA36E966}"/>
            </c:ext>
          </c:extLst>
        </c:ser>
        <c:dLbls>
          <c:showLegendKey val="0"/>
          <c:showVal val="0"/>
          <c:showCatName val="0"/>
          <c:showSerName val="0"/>
          <c:showPercent val="0"/>
          <c:showBubbleSize val="0"/>
        </c:dLbls>
        <c:gapWidth val="182"/>
        <c:axId val="1107795552"/>
        <c:axId val="1107796992"/>
      </c:barChart>
      <c:catAx>
        <c:axId val="110779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96992"/>
        <c:crosses val="autoZero"/>
        <c:auto val="1"/>
        <c:lblAlgn val="ctr"/>
        <c:lblOffset val="100"/>
        <c:noMultiLvlLbl val="0"/>
      </c:catAx>
      <c:valAx>
        <c:axId val="1107796992"/>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quot;##\,##\,##\,##0;[&gt;=10000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7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[Student_Fees_Analysis_Dashboard.xlsx]pivot_tables!PivotTable1</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Course Wise Fees Collection</a:t>
            </a:r>
          </a:p>
        </c:rich>
      </c:tx>
      <c:layout>
        <c:manualLayout>
          <c:xMode val="edge"/>
          <c:yMode val="edge"/>
          <c:x val="0.29775187155994898"/>
          <c:y val="4.26876189817670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pivot_tables!$A$4:$A$10</c:f>
              <c:strCache>
                <c:ptCount val="6"/>
                <c:pt idx="0">
                  <c:v>Data Analytics</c:v>
                </c:pt>
                <c:pt idx="1">
                  <c:v>Digital Marketing</c:v>
                </c:pt>
                <c:pt idx="2">
                  <c:v>Java Development</c:v>
                </c:pt>
                <c:pt idx="3">
                  <c:v>Power BI</c:v>
                </c:pt>
                <c:pt idx="4">
                  <c:v>Python Programming</c:v>
                </c:pt>
                <c:pt idx="5">
                  <c:v>Web Development</c:v>
                </c:pt>
              </c:strCache>
            </c:strRef>
          </c:cat>
          <c:val>
            <c:numRef>
              <c:f>pivot_tables!$B$4:$B$10</c:f>
              <c:numCache>
                <c:formatCode>[&gt;=10000000]"₹"##\,##\,##\,##0;[&gt;=100000]"₹"##\,##\,##0;"₹"##,##0</c:formatCode>
                <c:ptCount val="6"/>
                <c:pt idx="0">
                  <c:v>523000</c:v>
                </c:pt>
                <c:pt idx="1">
                  <c:v>373000</c:v>
                </c:pt>
                <c:pt idx="2">
                  <c:v>399500</c:v>
                </c:pt>
                <c:pt idx="3">
                  <c:v>79500</c:v>
                </c:pt>
                <c:pt idx="4">
                  <c:v>259000</c:v>
                </c:pt>
                <c:pt idx="5">
                  <c:v>621000</c:v>
                </c:pt>
              </c:numCache>
            </c:numRef>
          </c:val>
          <c:extLst>
            <c:ext xmlns:c16="http://schemas.microsoft.com/office/drawing/2014/chart" uri="{C3380CC4-5D6E-409C-BE32-E72D297353CC}">
              <c16:uniqueId val="{00000000-2203-4C63-BEAA-2CDB62D265BA}"/>
            </c:ext>
          </c:extLst>
        </c:ser>
        <c:dLbls>
          <c:dLblPos val="outEnd"/>
          <c:showLegendKey val="0"/>
          <c:showVal val="1"/>
          <c:showCatName val="0"/>
          <c:showSerName val="0"/>
          <c:showPercent val="0"/>
          <c:showBubbleSize val="0"/>
        </c:dLbls>
        <c:gapWidth val="100"/>
        <c:overlap val="-24"/>
        <c:axId val="1111665200"/>
        <c:axId val="1111665680"/>
      </c:barChart>
      <c:catAx>
        <c:axId val="1111665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Courses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1665680"/>
        <c:crosses val="autoZero"/>
        <c:auto val="1"/>
        <c:lblAlgn val="ctr"/>
        <c:lblOffset val="100"/>
        <c:noMultiLvlLbl val="0"/>
      </c:catAx>
      <c:valAx>
        <c:axId val="111166568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a:t>Fees Collection</a:t>
                </a:r>
              </a:p>
            </c:rich>
          </c:tx>
          <c:layout>
            <c:manualLayout>
              <c:xMode val="edge"/>
              <c:yMode val="edge"/>
              <c:x val="1.7052704793212456E-2"/>
              <c:y val="0.3652325522250087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t;=10000000]&quot;₹&quot;##\,##\,##\,##0;[&gt;=10000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16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[Student_Fees_Analysis_Dashboard.xlsx]pivot_tables!PivotTable2</c:name>
    <c:fmtId val="26"/>
  </c:pivotSource>
  <c:chart>
    <c:title>
      <c:tx>
        <c:rich>
          <a:bodyPr rot="0" spcFirstLastPara="1" vertOverflow="ellipsis" vert="horz" wrap="square" anchor="ctr" anchorCtr="1"/>
          <a:lstStyle/>
          <a:p>
            <a:pPr algn="ctr" rtl="0">
              <a:defRPr lang="en-US" sz="132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r>
              <a:rPr lang="en-IN" sz="1600"/>
              <a:t>Branch Wise Student Count</a:t>
            </a:r>
          </a:p>
        </c:rich>
      </c:tx>
      <c:overlay val="0"/>
      <c:spPr>
        <a:noFill/>
        <a:ln>
          <a:noFill/>
        </a:ln>
        <a:effectLst/>
      </c:spPr>
      <c:txPr>
        <a:bodyPr rot="0" spcFirstLastPara="1" vertOverflow="ellipsis" vert="horz" wrap="square" anchor="ctr" anchorCtr="1"/>
        <a:lstStyle/>
        <a:p>
          <a:pPr algn="ctr" rtl="0">
            <a:defRPr lang="en-US" sz="132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pivot_tables!$A$25:$A$30</c:f>
              <c:strCache>
                <c:ptCount val="5"/>
                <c:pt idx="0">
                  <c:v>Kolhapur</c:v>
                </c:pt>
                <c:pt idx="1">
                  <c:v>Mumbai</c:v>
                </c:pt>
                <c:pt idx="2">
                  <c:v>Nashik</c:v>
                </c:pt>
                <c:pt idx="3">
                  <c:v>Pune</c:v>
                </c:pt>
                <c:pt idx="4">
                  <c:v>Solapur</c:v>
                </c:pt>
              </c:strCache>
            </c:strRef>
          </c:cat>
          <c:val>
            <c:numRef>
              <c:f>pivot_tables!$B$25:$B$30</c:f>
              <c:numCache>
                <c:formatCode>General</c:formatCode>
                <c:ptCount val="5"/>
                <c:pt idx="0">
                  <c:v>13</c:v>
                </c:pt>
                <c:pt idx="1">
                  <c:v>23</c:v>
                </c:pt>
                <c:pt idx="2">
                  <c:v>13</c:v>
                </c:pt>
                <c:pt idx="3">
                  <c:v>29</c:v>
                </c:pt>
                <c:pt idx="4">
                  <c:v>22</c:v>
                </c:pt>
              </c:numCache>
            </c:numRef>
          </c:val>
          <c:extLst>
            <c:ext xmlns:c16="http://schemas.microsoft.com/office/drawing/2014/chart" uri="{C3380CC4-5D6E-409C-BE32-E72D297353CC}">
              <c16:uniqueId val="{00000000-6C13-4914-87AF-F0BF847A5D65}"/>
            </c:ext>
          </c:extLst>
        </c:ser>
        <c:dLbls>
          <c:showLegendKey val="0"/>
          <c:showVal val="0"/>
          <c:showCatName val="0"/>
          <c:showSerName val="0"/>
          <c:showPercent val="0"/>
          <c:showBubbleSize val="0"/>
        </c:dLbls>
        <c:gapWidth val="115"/>
        <c:overlap val="-20"/>
        <c:axId val="1162976688"/>
        <c:axId val="1162977168"/>
      </c:barChart>
      <c:catAx>
        <c:axId val="1162976688"/>
        <c:scaling>
          <c:orientation val="minMax"/>
        </c:scaling>
        <c:delete val="0"/>
        <c:axPos val="l"/>
        <c:title>
          <c:tx>
            <c:rich>
              <a:bodyPr rot="-5400000" spcFirstLastPara="1" vertOverflow="ellipsis" vert="horz" wrap="square" anchor="ctr" anchorCtr="1"/>
              <a:lstStyle/>
              <a:p>
                <a:pPr>
                  <a:defRPr lang="en-US" sz="1100" b="1" i="0" u="none" strike="noStrike" kern="1200" cap="all" spc="100" baseline="0">
                    <a:solidFill>
                      <a:srgbClr val="1F497D"/>
                    </a:solidFill>
                    <a:effectLst>
                      <a:outerShdw blurRad="50800" dist="38100" dir="5400000" algn="t" rotWithShape="0">
                        <a:prstClr val="black">
                          <a:alpha val="40000"/>
                        </a:prstClr>
                      </a:outerShdw>
                    </a:effectLst>
                    <a:latin typeface="+mn-lt"/>
                    <a:ea typeface="+mn-ea"/>
                    <a:cs typeface="+mn-cs"/>
                  </a:defRPr>
                </a:pPr>
                <a:r>
                  <a:rPr lang="en-IN"/>
                  <a:t>Branch</a:t>
                </a:r>
              </a:p>
            </c:rich>
          </c:tx>
          <c:overlay val="0"/>
          <c:spPr>
            <a:noFill/>
            <a:ln>
              <a:noFill/>
            </a:ln>
            <a:effectLst/>
          </c:spPr>
          <c:txPr>
            <a:bodyPr rot="-5400000" spcFirstLastPara="1" vertOverflow="ellipsis" vert="horz" wrap="square" anchor="ctr" anchorCtr="1"/>
            <a:lstStyle/>
            <a:p>
              <a:pPr>
                <a:defRPr lang="en-US" sz="1100" b="1" i="0" u="none" strike="noStrike" kern="1200" cap="all"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10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crossAx val="1162977168"/>
        <c:crosses val="autoZero"/>
        <c:auto val="1"/>
        <c:lblAlgn val="ctr"/>
        <c:lblOffset val="100"/>
        <c:noMultiLvlLbl val="0"/>
      </c:catAx>
      <c:valAx>
        <c:axId val="116297716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lang="en-US" sz="1100" b="1" i="0" u="none" strike="noStrike" kern="1200" cap="all" spc="100" baseline="0">
                    <a:solidFill>
                      <a:srgbClr val="1F497D"/>
                    </a:solidFill>
                    <a:effectLst>
                      <a:outerShdw blurRad="50800" dist="38100" dir="5400000" algn="t" rotWithShape="0">
                        <a:prstClr val="black">
                          <a:alpha val="40000"/>
                        </a:prstClr>
                      </a:outerShdw>
                    </a:effectLst>
                    <a:latin typeface="+mn-lt"/>
                    <a:ea typeface="+mn-ea"/>
                    <a:cs typeface="+mn-cs"/>
                  </a:defRPr>
                </a:pPr>
                <a:r>
                  <a:rPr lang="en-IN"/>
                  <a:t>STUDENT Count</a:t>
                </a:r>
              </a:p>
            </c:rich>
          </c:tx>
          <c:overlay val="0"/>
          <c:spPr>
            <a:noFill/>
            <a:ln>
              <a:noFill/>
            </a:ln>
            <a:effectLst/>
          </c:spPr>
          <c:txPr>
            <a:bodyPr rot="0" spcFirstLastPara="1" vertOverflow="ellipsis" vert="horz" wrap="square" anchor="ctr" anchorCtr="1"/>
            <a:lstStyle/>
            <a:p>
              <a:pPr>
                <a:defRPr lang="en-US" sz="1100" b="1" i="0" u="none" strike="noStrike" kern="1200" cap="all"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crossAx val="11629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ln>
    <a:effectLst/>
  </c:spPr>
  <c:txPr>
    <a:bodyPr/>
    <a:lstStyle/>
    <a:p>
      <a:pPr algn="ctr" rtl="0">
        <a:defRPr lang="en-US" sz="1100" b="1" i="0" u="none" strike="noStrike" kern="1200" spc="100" baseline="0">
          <a:solidFill>
            <a:srgbClr val="1F497D"/>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[Student_Fees_Analysis_Dashboard.xlsx]pivot_tables!PivotTable3</c:name>
    <c:fmtId val="35"/>
  </c:pivotSource>
  <c:chart>
    <c:title>
      <c:tx>
        <c:rich>
          <a:bodyPr rot="0" spcFirstLastPara="1" vertOverflow="ellipsis" vert="horz" wrap="square" anchor="ctr" anchorCtr="1"/>
          <a:lstStyle/>
          <a:p>
            <a:pPr algn="ctr" rtl="0">
              <a:defRPr sz="1800" b="1" i="0" u="none" strike="noStrike" kern="1200" cap="all" spc="150" baseline="0">
                <a:solidFill>
                  <a:schemeClr val="dk1"/>
                </a:solidFill>
                <a:latin typeface="+mn-lt"/>
                <a:ea typeface="+mn-ea"/>
                <a:cs typeface="+mn-cs"/>
              </a:defRPr>
            </a:pPr>
            <a:r>
              <a:rPr lang="en-IN"/>
              <a:t>Fees collected vs pending</a:t>
            </a:r>
          </a:p>
        </c:rich>
      </c:tx>
      <c:overlay val="0"/>
      <c:spPr>
        <a:noFill/>
        <a:ln>
          <a:noFill/>
        </a:ln>
        <a:effectLst/>
      </c:spPr>
      <c:txPr>
        <a:bodyPr rot="0" spcFirstLastPara="1" vertOverflow="ellipsis" vert="horz" wrap="square" anchor="ctr" anchorCtr="1"/>
        <a:lstStyle/>
        <a:p>
          <a:pPr algn="ctr" rtl="0">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38411501915937485"/>
              <c:y val="7.9756120317804366E-2"/>
            </c:manualLayout>
          </c:layout>
          <c:showLegendKey val="0"/>
          <c:showVal val="1"/>
          <c:showCatName val="0"/>
          <c:showSerName val="0"/>
          <c:showPercent val="1"/>
          <c:showBubbleSize val="0"/>
          <c:extLst>
            <c:ext xmlns:c15="http://schemas.microsoft.com/office/drawing/2012/chart" uri="{CE6537A1-D6FC-4f65-9D91-7224C49458BB}">
              <c15:layout>
                <c:manualLayout>
                  <c:w val="0.3816054677008669"/>
                  <c:h val="0.2173547164665437"/>
                </c:manualLayout>
              </c15:layout>
            </c:ext>
          </c:extLst>
        </c:dLbl>
      </c:pivotFmt>
      <c:pivotFmt>
        <c:idx val="3"/>
        <c:dLbl>
          <c:idx val="0"/>
          <c:layout>
            <c:manualLayout>
              <c:x val="-0.21766517752364575"/>
              <c:y val="-0.37979104913240175"/>
            </c:manualLayout>
          </c:layout>
          <c:showLegendKey val="0"/>
          <c:showVal val="1"/>
          <c:showCatName val="0"/>
          <c:showSerName val="0"/>
          <c:showPercent val="1"/>
          <c:showBubbleSize val="0"/>
          <c:extLst>
            <c:ext xmlns:c15="http://schemas.microsoft.com/office/drawing/2012/chart" uri="{CE6537A1-D6FC-4f65-9D91-7224C49458BB}">
              <c15:layout>
                <c:manualLayout>
                  <c:w val="0.26381019515865861"/>
                  <c:h val="0.14899232762271139"/>
                </c:manualLayout>
              </c15:layout>
            </c:ext>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21766517752364575"/>
              <c:y val="-0.37979104913240175"/>
            </c:manualLayout>
          </c:layout>
          <c:showLegendKey val="0"/>
          <c:showVal val="1"/>
          <c:showCatName val="0"/>
          <c:showSerName val="0"/>
          <c:showPercent val="1"/>
          <c:showBubbleSize val="0"/>
          <c:extLst>
            <c:ext xmlns:c15="http://schemas.microsoft.com/office/drawing/2012/chart" uri="{CE6537A1-D6FC-4f65-9D91-7224C49458BB}">
              <c15:layout>
                <c:manualLayout>
                  <c:w val="0.26381019515865861"/>
                  <c:h val="0.14899232762271139"/>
                </c:manualLayout>
              </c15:layout>
            </c:ext>
          </c:extLst>
        </c:dLbl>
      </c:pivotFmt>
      <c:pivotFmt>
        <c:idx val="6"/>
        <c:dLbl>
          <c:idx val="0"/>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38411501915937485"/>
              <c:y val="7.9756120317804366E-2"/>
            </c:manualLayout>
          </c:layout>
          <c:showLegendKey val="0"/>
          <c:showVal val="1"/>
          <c:showCatName val="0"/>
          <c:showSerName val="0"/>
          <c:showPercent val="1"/>
          <c:showBubbleSize val="0"/>
          <c:extLst>
            <c:ext xmlns:c15="http://schemas.microsoft.com/office/drawing/2012/chart" uri="{CE6537A1-D6FC-4f65-9D91-7224C49458BB}">
              <c15:layout>
                <c:manualLayout>
                  <c:w val="0.3816054677008669"/>
                  <c:h val="0.2173547164665437"/>
                </c:manualLayout>
              </c15:layout>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pPr>
            <a:solidFill>
              <a:schemeClr val="accent1"/>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24460740076760287"/>
              <c:y val="-0.3736771802162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marker>
          <c:spPr>
            <a:solidFill>
              <a:schemeClr val="accent1"/>
            </a:solidFill>
            <a:ln w="9525">
              <a:solidFill>
                <a:schemeClr val="l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11"/>
        <c:dLbl>
          <c:idx val="0"/>
          <c:layout>
            <c:manualLayout>
              <c:x val="0.31245373474094185"/>
              <c:y val="2.6222527744802746E-2"/>
            </c:manualLayout>
          </c:layout>
          <c:showLegendKey val="0"/>
          <c:showVal val="1"/>
          <c:showCatName val="0"/>
          <c:showSerName val="0"/>
          <c:showPercent val="0"/>
          <c:showBubbleSize val="0"/>
          <c:extLst>
            <c:ext xmlns:c15="http://schemas.microsoft.com/office/drawing/2012/chart" uri="{CE6537A1-D6FC-4f65-9D91-7224C49458BB}">
              <c15:layout>
                <c:manualLayout>
                  <c:w val="0.22129793513729726"/>
                  <c:h val="0.20148871597558851"/>
                </c:manualLayout>
              </c15:layout>
            </c:ext>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042930985869556"/>
              <c:y val="0.118874835094890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461497925151938"/>
              <c:y val="-0.209779120755689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pivot_tables!$L$3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70D-49F0-B0AD-5397338D6B79}"/>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905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470D-49F0-B0AD-5397338D6B79}"/>
              </c:ext>
            </c:extLst>
          </c:dPt>
          <c:dLbls>
            <c:dLbl>
              <c:idx val="0"/>
              <c:layout>
                <c:manualLayout>
                  <c:x val="0.17042930985869556"/>
                  <c:y val="0.118874835094890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470D-49F0-B0AD-5397338D6B79}"/>
                </c:ext>
              </c:extLst>
            </c:dLbl>
            <c:dLbl>
              <c:idx val="1"/>
              <c:layout>
                <c:manualLayout>
                  <c:x val="-0.12461497925151938"/>
                  <c:y val="-0.209779120755689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470D-49F0-B0AD-5397338D6B79}"/>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pivot_tables!$K$4:$K$5</c:f>
              <c:strCache>
                <c:ptCount val="2"/>
                <c:pt idx="0">
                  <c:v>Sum of Paid Fees</c:v>
                </c:pt>
                <c:pt idx="1">
                  <c:v>Sum of Remaining Fees</c:v>
                </c:pt>
              </c:strCache>
            </c:strRef>
          </c:cat>
          <c:val>
            <c:numRef>
              <c:f>pivot_tables!$L$4:$L$5</c:f>
              <c:numCache>
                <c:formatCode>[&gt;=10000000]"₹"##\,##\,##\,##0;[&gt;=100000]"₹"##\,##\,##0;"₹"##,##0</c:formatCode>
                <c:ptCount val="2"/>
                <c:pt idx="0">
                  <c:v>2255000</c:v>
                </c:pt>
                <c:pt idx="1">
                  <c:v>1313000</c:v>
                </c:pt>
              </c:numCache>
            </c:numRef>
          </c:val>
          <c:extLst>
            <c:ext xmlns:c16="http://schemas.microsoft.com/office/drawing/2014/chart" uri="{C3380CC4-5D6E-409C-BE32-E72D297353CC}">
              <c16:uniqueId val="{00000006-470D-49F0-B0AD-5397338D6B79}"/>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lgn="ctr" rtl="0">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[Student_Fees_Analysis_Dashboard.xlsx]pivot_tables!PivotTable4</c:name>
    <c:fmtId val="2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BRANCH-WISE FEE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50000"/>
            </a:schemeClr>
          </a:solidFill>
          <a:ln>
            <a:noFill/>
          </a:ln>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493577373592"/>
          <c:y val="0.23117585687446784"/>
          <c:w val="0.49841303760224259"/>
          <c:h val="0.4525186411760117"/>
        </c:manualLayout>
      </c:layout>
      <c:barChart>
        <c:barDir val="col"/>
        <c:grouping val="clustered"/>
        <c:varyColors val="0"/>
        <c:ser>
          <c:idx val="0"/>
          <c:order val="0"/>
          <c:tx>
            <c:strRef>
              <c:f>pivot_tables!$L$24</c:f>
              <c:strCache>
                <c:ptCount val="1"/>
                <c:pt idx="0">
                  <c:v>Paid fees Sum</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pivot_tables!$K$25:$K$30</c:f>
              <c:strCache>
                <c:ptCount val="5"/>
                <c:pt idx="0">
                  <c:v>Kolhapur</c:v>
                </c:pt>
                <c:pt idx="1">
                  <c:v>Mumbai</c:v>
                </c:pt>
                <c:pt idx="2">
                  <c:v>Nashik</c:v>
                </c:pt>
                <c:pt idx="3">
                  <c:v>Pune</c:v>
                </c:pt>
                <c:pt idx="4">
                  <c:v>Solapur</c:v>
                </c:pt>
              </c:strCache>
            </c:strRef>
          </c:cat>
          <c:val>
            <c:numRef>
              <c:f>pivot_tables!$L$25:$L$30</c:f>
              <c:numCache>
                <c:formatCode>[&gt;=10000000]"₹"##\,##\,##\,##0;[&gt;=100000]"₹"##\,##\,##0;"₹"##,##0</c:formatCode>
                <c:ptCount val="5"/>
                <c:pt idx="0">
                  <c:v>326500</c:v>
                </c:pt>
                <c:pt idx="1">
                  <c:v>467000</c:v>
                </c:pt>
                <c:pt idx="2">
                  <c:v>266500</c:v>
                </c:pt>
                <c:pt idx="3">
                  <c:v>757000</c:v>
                </c:pt>
                <c:pt idx="4">
                  <c:v>438000</c:v>
                </c:pt>
              </c:numCache>
            </c:numRef>
          </c:val>
          <c:extLst>
            <c:ext xmlns:c16="http://schemas.microsoft.com/office/drawing/2014/chart" uri="{C3380CC4-5D6E-409C-BE32-E72D297353CC}">
              <c16:uniqueId val="{00000000-CFC3-42F6-8F78-951B95DC22A2}"/>
            </c:ext>
          </c:extLst>
        </c:ser>
        <c:ser>
          <c:idx val="1"/>
          <c:order val="1"/>
          <c:tx>
            <c:strRef>
              <c:f>pivot_tables!$M$24</c:f>
              <c:strCache>
                <c:ptCount val="1"/>
                <c:pt idx="0">
                  <c:v>Remaining Fees Sum</c:v>
                </c:pt>
              </c:strCache>
            </c:strRef>
          </c:tx>
          <c:spPr>
            <a:solidFill>
              <a:schemeClr val="accent5">
                <a:alpha val="50000"/>
              </a:schemeClr>
            </a:solidFill>
            <a:ln>
              <a:noFill/>
            </a:ln>
            <a:effectLst/>
            <a:scene3d>
              <a:camera prst="orthographicFront">
                <a:rot lat="0" lon="0" rev="0"/>
              </a:camera>
              <a:lightRig rig="threePt" dir="t">
                <a:rot lat="0" lon="0" rev="1200000"/>
              </a:lightRig>
            </a:scene3d>
            <a:sp3d>
              <a:bevelT w="63500" h="25400"/>
            </a:sp3d>
          </c:spPr>
          <c:invertIfNegative val="0"/>
          <c:cat>
            <c:strRef>
              <c:f>pivot_tables!$K$25:$K$30</c:f>
              <c:strCache>
                <c:ptCount val="5"/>
                <c:pt idx="0">
                  <c:v>Kolhapur</c:v>
                </c:pt>
                <c:pt idx="1">
                  <c:v>Mumbai</c:v>
                </c:pt>
                <c:pt idx="2">
                  <c:v>Nashik</c:v>
                </c:pt>
                <c:pt idx="3">
                  <c:v>Pune</c:v>
                </c:pt>
                <c:pt idx="4">
                  <c:v>Solapur</c:v>
                </c:pt>
              </c:strCache>
            </c:strRef>
          </c:cat>
          <c:val>
            <c:numRef>
              <c:f>pivot_tables!$M$25:$M$30</c:f>
              <c:numCache>
                <c:formatCode>[&gt;=10000000]"₹"##\,##\,##\,##0;[&gt;=100000]"₹"##\,##\,##0;"₹"##,##0</c:formatCode>
                <c:ptCount val="5"/>
                <c:pt idx="0">
                  <c:v>128500</c:v>
                </c:pt>
                <c:pt idx="1">
                  <c:v>338000</c:v>
                </c:pt>
                <c:pt idx="2">
                  <c:v>176500</c:v>
                </c:pt>
                <c:pt idx="3">
                  <c:v>279000</c:v>
                </c:pt>
                <c:pt idx="4">
                  <c:v>391000</c:v>
                </c:pt>
              </c:numCache>
            </c:numRef>
          </c:val>
          <c:extLst>
            <c:ext xmlns:c16="http://schemas.microsoft.com/office/drawing/2014/chart" uri="{C3380CC4-5D6E-409C-BE32-E72D297353CC}">
              <c16:uniqueId val="{00000001-CFC3-42F6-8F78-951B95DC22A2}"/>
            </c:ext>
          </c:extLst>
        </c:ser>
        <c:dLbls>
          <c:showLegendKey val="0"/>
          <c:showVal val="0"/>
          <c:showCatName val="0"/>
          <c:showSerName val="0"/>
          <c:showPercent val="0"/>
          <c:showBubbleSize val="0"/>
        </c:dLbls>
        <c:gapWidth val="100"/>
        <c:overlap val="-24"/>
        <c:axId val="1125312368"/>
        <c:axId val="1125312848"/>
      </c:barChart>
      <c:catAx>
        <c:axId val="11253123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5312848"/>
        <c:crosses val="autoZero"/>
        <c:auto val="1"/>
        <c:lblAlgn val="ctr"/>
        <c:lblOffset val="100"/>
        <c:noMultiLvlLbl val="0"/>
      </c:catAx>
      <c:valAx>
        <c:axId val="11253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FEES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t;=10000000]&quot;₹&quot;##\,##\,##\,##0;[&gt;=10000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5312368"/>
        <c:crosses val="autoZero"/>
        <c:crossBetween val="between"/>
      </c:valAx>
      <c:spPr>
        <a:noFill/>
        <a:ln>
          <a:noFill/>
        </a:ln>
        <a:effectLst/>
      </c:spPr>
    </c:plotArea>
    <c:legend>
      <c:legendPos val="r"/>
      <c:layout>
        <c:manualLayout>
          <c:xMode val="edge"/>
          <c:yMode val="edge"/>
          <c:x val="0.72988760602853164"/>
          <c:y val="0.44345874563780041"/>
          <c:w val="0.2590804608684158"/>
          <c:h val="0.287155776556457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[Student_Fees_Analysis_Dashboard.xlsx]pivot_tables!PivotTable5</c:name>
    <c:fmtId val="2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Course Wise Outstanding Fees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pivot_tables!$A$44:$A$50</c:f>
              <c:strCache>
                <c:ptCount val="6"/>
                <c:pt idx="0">
                  <c:v>Data Analytics</c:v>
                </c:pt>
                <c:pt idx="1">
                  <c:v>Digital Marketing</c:v>
                </c:pt>
                <c:pt idx="2">
                  <c:v>Java Development</c:v>
                </c:pt>
                <c:pt idx="3">
                  <c:v>Power BI</c:v>
                </c:pt>
                <c:pt idx="4">
                  <c:v>Python Programming</c:v>
                </c:pt>
                <c:pt idx="5">
                  <c:v>Web Development</c:v>
                </c:pt>
              </c:strCache>
            </c:strRef>
          </c:cat>
          <c:val>
            <c:numRef>
              <c:f>pivot_tables!$B$44:$B$50</c:f>
              <c:numCache>
                <c:formatCode>[&gt;=10000000]"₹"##\,##\,##\,##0;[&gt;=100000]"₹"##\,##\,##0;"₹"##,##0</c:formatCode>
                <c:ptCount val="6"/>
                <c:pt idx="0">
                  <c:v>418000</c:v>
                </c:pt>
                <c:pt idx="1">
                  <c:v>95000</c:v>
                </c:pt>
                <c:pt idx="2">
                  <c:v>156500</c:v>
                </c:pt>
                <c:pt idx="3">
                  <c:v>112500</c:v>
                </c:pt>
                <c:pt idx="4">
                  <c:v>95000</c:v>
                </c:pt>
                <c:pt idx="5">
                  <c:v>436000</c:v>
                </c:pt>
              </c:numCache>
            </c:numRef>
          </c:val>
          <c:extLst>
            <c:ext xmlns:c16="http://schemas.microsoft.com/office/drawing/2014/chart" uri="{C3380CC4-5D6E-409C-BE32-E72D297353CC}">
              <c16:uniqueId val="{00000000-52DA-44F9-BEB7-A889CB59914F}"/>
            </c:ext>
          </c:extLst>
        </c:ser>
        <c:dLbls>
          <c:showLegendKey val="0"/>
          <c:showVal val="0"/>
          <c:showCatName val="0"/>
          <c:showSerName val="0"/>
          <c:showPercent val="0"/>
          <c:showBubbleSize val="0"/>
        </c:dLbls>
        <c:gapWidth val="182"/>
        <c:axId val="1107795552"/>
        <c:axId val="1107796992"/>
      </c:barChart>
      <c:catAx>
        <c:axId val="110779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7796992"/>
        <c:crosses val="autoZero"/>
        <c:auto val="1"/>
        <c:lblAlgn val="ctr"/>
        <c:lblOffset val="100"/>
        <c:noMultiLvlLbl val="0"/>
      </c:catAx>
      <c:valAx>
        <c:axId val="1107796992"/>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quot;##\,##\,##\,##0;[&gt;=100000]&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779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lgn="ct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472440</xdr:colOff>
      <xdr:row>1</xdr:row>
      <xdr:rowOff>3810</xdr:rowOff>
    </xdr:from>
    <xdr:to>
      <xdr:col>9</xdr:col>
      <xdr:colOff>53340</xdr:colOff>
      <xdr:row>16</xdr:row>
      <xdr:rowOff>3810</xdr:rowOff>
    </xdr:to>
    <xdr:graphicFrame macro="">
      <xdr:nvGraphicFramePr>
        <xdr:cNvPr id="2" name="Chart 1">
          <a:extLst>
            <a:ext uri="{FF2B5EF4-FFF2-40B4-BE49-F238E27FC236}">
              <a16:creationId xmlns:a16="http://schemas.microsoft.com/office/drawing/2014/main" id="{4644224F-719C-B8FA-ECC2-2DF6C19AE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365760</xdr:colOff>
      <xdr:row>22</xdr:row>
      <xdr:rowOff>11430</xdr:rowOff>
    </xdr:from>
    <xdr:to>
      <xdr:col>8</xdr:col>
      <xdr:colOff>556260</xdr:colOff>
      <xdr:row>36</xdr:row>
      <xdr:rowOff>156210</xdr:rowOff>
    </xdr:to>
    <xdr:graphicFrame macro="">
      <xdr:nvGraphicFramePr>
        <xdr:cNvPr id="3" name="Chart 2">
          <a:extLst>
            <a:ext uri="{FF2B5EF4-FFF2-40B4-BE49-F238E27FC236}">
              <a16:creationId xmlns:a16="http://schemas.microsoft.com/office/drawing/2014/main" id="{FBE0E096-481B-E0FA-8C7C-5AA783F8B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61784</xdr:colOff>
      <xdr:row>5</xdr:row>
      <xdr:rowOff>58729</xdr:rowOff>
    </xdr:from>
    <xdr:to>
      <xdr:col>12</xdr:col>
      <xdr:colOff>77024</xdr:colOff>
      <xdr:row>14</xdr:row>
      <xdr:rowOff>62539</xdr:rowOff>
    </xdr:to>
    <xdr:graphicFrame macro="">
      <xdr:nvGraphicFramePr>
        <xdr:cNvPr id="4" name="Chart 3">
          <a:extLst>
            <a:ext uri="{FF2B5EF4-FFF2-40B4-BE49-F238E27FC236}">
              <a16:creationId xmlns:a16="http://schemas.microsoft.com/office/drawing/2014/main" id="{FF5F755E-199C-B059-3BB3-6A848BF7D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600676</xdr:colOff>
      <xdr:row>30</xdr:row>
      <xdr:rowOff>155833</xdr:rowOff>
    </xdr:from>
    <xdr:to>
      <xdr:col>14</xdr:col>
      <xdr:colOff>528595</xdr:colOff>
      <xdr:row>43</xdr:row>
      <xdr:rowOff>157893</xdr:rowOff>
    </xdr:to>
    <xdr:graphicFrame macro="">
      <xdr:nvGraphicFramePr>
        <xdr:cNvPr id="5" name="Chart 4">
          <a:extLst>
            <a:ext uri="{FF2B5EF4-FFF2-40B4-BE49-F238E27FC236}">
              <a16:creationId xmlns:a16="http://schemas.microsoft.com/office/drawing/2014/main" id="{7C08D902-6378-9793-AFF6-E08877536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490838</xdr:colOff>
      <xdr:row>40</xdr:row>
      <xdr:rowOff>25400</xdr:rowOff>
    </xdr:from>
    <xdr:to>
      <xdr:col>9</xdr:col>
      <xdr:colOff>65216</xdr:colOff>
      <xdr:row>54</xdr:row>
      <xdr:rowOff>173681</xdr:rowOff>
    </xdr:to>
    <xdr:graphicFrame macro="">
      <xdr:nvGraphicFramePr>
        <xdr:cNvPr id="6" name="Chart 5">
          <a:extLst>
            <a:ext uri="{FF2B5EF4-FFF2-40B4-BE49-F238E27FC236}">
              <a16:creationId xmlns:a16="http://schemas.microsoft.com/office/drawing/2014/main" id="{F73B2E22-E91C-466E-A774-25BA2B41D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7620</xdr:colOff>
      <xdr:row>1</xdr:row>
      <xdr:rowOff>167640</xdr:rowOff>
    </xdr:from>
    <xdr:ext cx="184731" cy="264560"/>
    <xdr:sp macro="" textlink="">
      <xdr:nvSpPr>
        <xdr:cNvPr id="4" name="TextBox 3">
          <a:extLst>
            <a:ext uri="{FF2B5EF4-FFF2-40B4-BE49-F238E27FC236}">
              <a16:creationId xmlns:a16="http://schemas.microsoft.com/office/drawing/2014/main" id="{8492E8A6-123F-6360-8851-B16265ABD84D}"/>
            </a:ext>
          </a:extLst>
        </xdr:cNvPr>
        <xdr:cNvSpPr txBox="1"/>
      </xdr:nvSpPr>
      <xdr:spPr>
        <a:xfrm>
          <a:off x="617220" y="350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366684</xdr:colOff>
      <xdr:row>0</xdr:row>
      <xdr:rowOff>72990</xdr:rowOff>
    </xdr:from>
    <xdr:to>
      <xdr:col>42</xdr:col>
      <xdr:colOff>347869</xdr:colOff>
      <xdr:row>72</xdr:row>
      <xdr:rowOff>58695</xdr:rowOff>
    </xdr:to>
    <xdr:sp macro="" textlink="">
      <xdr:nvSpPr>
        <xdr:cNvPr id="5" name="Rectangle 4">
          <a:extLst>
            <a:ext uri="{FF2B5EF4-FFF2-40B4-BE49-F238E27FC236}">
              <a16:creationId xmlns:a16="http://schemas.microsoft.com/office/drawing/2014/main" id="{E5C37270-B39E-6135-A96E-B691ABDED37B}"/>
            </a:ext>
          </a:extLst>
        </xdr:cNvPr>
        <xdr:cNvSpPr/>
      </xdr:nvSpPr>
      <xdr:spPr>
        <a:xfrm>
          <a:off x="2183761" y="72990"/>
          <a:ext cx="23954877" cy="12646628"/>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344594</xdr:colOff>
      <xdr:row>1</xdr:row>
      <xdr:rowOff>68078</xdr:rowOff>
    </xdr:from>
    <xdr:to>
      <xdr:col>31</xdr:col>
      <xdr:colOff>485693</xdr:colOff>
      <xdr:row>6</xdr:row>
      <xdr:rowOff>177177</xdr:rowOff>
    </xdr:to>
    <xdr:sp macro="" textlink="">
      <xdr:nvSpPr>
        <xdr:cNvPr id="6" name="Rectangle: Rounded Corners 5">
          <a:extLst>
            <a:ext uri="{FF2B5EF4-FFF2-40B4-BE49-F238E27FC236}">
              <a16:creationId xmlns:a16="http://schemas.microsoft.com/office/drawing/2014/main" id="{A35C0449-7450-48E5-86B1-A69F5D8D18FB}"/>
            </a:ext>
          </a:extLst>
        </xdr:cNvPr>
        <xdr:cNvSpPr/>
      </xdr:nvSpPr>
      <xdr:spPr>
        <a:xfrm>
          <a:off x="9273246" y="250295"/>
          <a:ext cx="10560621" cy="1020186"/>
        </a:xfrm>
        <a:prstGeom prst="roundRect">
          <a:avLst/>
        </a:prstGeom>
        <a:gradFill flip="none" rotWithShape="1">
          <a:gsLst>
            <a:gs pos="0">
              <a:schemeClr val="accent1">
                <a:lumMod val="21000"/>
                <a:lumOff val="79000"/>
                <a:alpha val="32000"/>
              </a:schemeClr>
            </a:gs>
            <a:gs pos="35000">
              <a:schemeClr val="accent1">
                <a:lumMod val="0"/>
                <a:lumOff val="100000"/>
              </a:schemeClr>
            </a:gs>
            <a:gs pos="100000">
              <a:schemeClr val="accent1">
                <a:lumMod val="100000"/>
              </a:schemeClr>
            </a:gs>
          </a:gsLst>
          <a:path path="circle">
            <a:fillToRect l="100000" b="100000"/>
          </a:path>
          <a:tileRect t="-100000" r="-100000"/>
        </a:gradFill>
        <a:ln w="57150">
          <a:solidFill>
            <a:schemeClr val="tx2">
              <a:lumMod val="50000"/>
            </a:schemeClr>
          </a:solidFill>
        </a:ln>
        <a:effectLst>
          <a:outerShdw blurRad="50800" dist="38100" dir="16200000" rotWithShape="0">
            <a:prstClr val="black">
              <a:alpha val="40000"/>
            </a:prstClr>
          </a:outerShdw>
          <a:softEdge rad="6350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4000" b="1">
              <a:solidFill>
                <a:schemeClr val="tx2">
                  <a:lumMod val="50000"/>
                </a:schemeClr>
              </a:solidFill>
              <a:effectLst>
                <a:outerShdw blurRad="63500" sx="102000" sy="102000" algn="ctr" rotWithShape="0">
                  <a:prstClr val="black">
                    <a:alpha val="40000"/>
                  </a:prstClr>
                </a:outerShdw>
              </a:effectLst>
              <a:latin typeface="Bodoni MT" panose="02070603080606020203" pitchFamily="18" charset="0"/>
            </a:rPr>
            <a:t>Student</a:t>
          </a:r>
          <a:r>
            <a:rPr lang="en-IN" sz="4000" b="1" baseline="0">
              <a:solidFill>
                <a:schemeClr val="tx2">
                  <a:lumMod val="50000"/>
                </a:schemeClr>
              </a:solidFill>
              <a:effectLst>
                <a:outerShdw blurRad="63500" sx="102000" sy="102000" algn="ctr" rotWithShape="0">
                  <a:prstClr val="black">
                    <a:alpha val="40000"/>
                  </a:prstClr>
                </a:outerShdw>
              </a:effectLst>
              <a:latin typeface="Bodoni MT" panose="02070603080606020203" pitchFamily="18" charset="0"/>
            </a:rPr>
            <a:t> Fees Dashboard</a:t>
          </a:r>
        </a:p>
        <a:p>
          <a:pPr algn="ctr"/>
          <a:r>
            <a:rPr lang="en-IN" sz="1800" b="1" baseline="0">
              <a:solidFill>
                <a:schemeClr val="tx2">
                  <a:lumMod val="50000"/>
                </a:schemeClr>
              </a:solidFill>
              <a:effectLst>
                <a:outerShdw blurRad="63500" sx="102000" sy="102000" algn="ctr" rotWithShape="0">
                  <a:prstClr val="black">
                    <a:alpha val="40000"/>
                  </a:prstClr>
                </a:outerShdw>
              </a:effectLst>
              <a:latin typeface="Bodoni MT" panose="02070603080606020203" pitchFamily="18" charset="0"/>
            </a:rPr>
            <a:t>2026</a:t>
          </a:r>
        </a:p>
        <a:p>
          <a:pPr algn="ctr"/>
          <a:endParaRPr lang="en-IN" sz="5400" b="1">
            <a:solidFill>
              <a:schemeClr val="tx2">
                <a:lumMod val="50000"/>
              </a:schemeClr>
            </a:solidFill>
            <a:effectLst>
              <a:outerShdw blurRad="63500" sx="102000" sy="102000" algn="ctr" rotWithShape="0">
                <a:prstClr val="black">
                  <a:alpha val="40000"/>
                </a:prstClr>
              </a:outerShdw>
            </a:effectLst>
            <a:latin typeface="Bodoni MT" panose="02070603080606020203" pitchFamily="18" charset="0"/>
          </a:endParaRPr>
        </a:p>
      </xdr:txBody>
    </xdr:sp>
    <xdr:clientData/>
  </xdr:twoCellAnchor>
  <xdr:twoCellAnchor>
    <xdr:from>
      <xdr:col>11</xdr:col>
      <xdr:colOff>387832</xdr:colOff>
      <xdr:row>8</xdr:row>
      <xdr:rowOff>44308</xdr:rowOff>
    </xdr:from>
    <xdr:to>
      <xdr:col>16</xdr:col>
      <xdr:colOff>225161</xdr:colOff>
      <xdr:row>13</xdr:row>
      <xdr:rowOff>149937</xdr:rowOff>
    </xdr:to>
    <xdr:sp macro="" textlink="#REF!">
      <xdr:nvSpPr>
        <xdr:cNvPr id="7" name="Rectangle: Rounded Corners 6">
          <a:extLst>
            <a:ext uri="{FF2B5EF4-FFF2-40B4-BE49-F238E27FC236}">
              <a16:creationId xmlns:a16="http://schemas.microsoft.com/office/drawing/2014/main" id="{F988110F-EF9F-63C1-681F-7F05FA8123C7}"/>
            </a:ext>
          </a:extLst>
        </xdr:cNvPr>
        <xdr:cNvSpPr/>
      </xdr:nvSpPr>
      <xdr:spPr>
        <a:xfrm>
          <a:off x="7477745" y="1502047"/>
          <a:ext cx="2901894" cy="101671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45E93AF8-1EC8-4CF7-BB90-0142088AAF86}" type="TxLink">
            <a:rPr lang="en-US" sz="1800" b="0" i="0" u="none" strike="noStrike">
              <a:solidFill>
                <a:srgbClr val="000000"/>
              </a:solidFill>
              <a:latin typeface="Berlin Sans FB Demi" panose="020E0802020502020306" pitchFamily="34" charset="0"/>
              <a:ea typeface="Calibri"/>
              <a:cs typeface="Calibri"/>
            </a:rPr>
            <a:pPr marL="0" indent="0" algn="ctr"/>
            <a:t>100</a:t>
          </a:fld>
          <a:endParaRPr lang="en-US" sz="1800" b="0" i="0" u="none" strike="noStrike">
            <a:solidFill>
              <a:srgbClr val="000000"/>
            </a:solidFill>
            <a:latin typeface="Berlin Sans FB Demi" panose="020E0802020502020306" pitchFamily="34" charset="0"/>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u="none" strike="noStrike">
              <a:solidFill>
                <a:srgbClr val="000000"/>
              </a:solidFill>
              <a:latin typeface="Berlin Sans FB Demi" panose="020E0802020502020306" pitchFamily="34" charset="0"/>
              <a:ea typeface="Calibri"/>
              <a:cs typeface="Calibri"/>
            </a:rPr>
            <a:t>TOTAL STUDENTS</a:t>
          </a:r>
        </a:p>
        <a:p>
          <a:pPr marL="0" indent="0" algn="ctr"/>
          <a:endParaRPr lang="en-US" sz="1800" b="0"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22</xdr:col>
      <xdr:colOff>505635</xdr:colOff>
      <xdr:row>8</xdr:row>
      <xdr:rowOff>113627</xdr:rowOff>
    </xdr:from>
    <xdr:to>
      <xdr:col>27</xdr:col>
      <xdr:colOff>348210</xdr:colOff>
      <xdr:row>14</xdr:row>
      <xdr:rowOff>45132</xdr:rowOff>
    </xdr:to>
    <xdr:sp macro="" textlink="#REF!">
      <xdr:nvSpPr>
        <xdr:cNvPr id="8" name="Rectangle: Rounded Corners 7">
          <a:extLst>
            <a:ext uri="{FF2B5EF4-FFF2-40B4-BE49-F238E27FC236}">
              <a16:creationId xmlns:a16="http://schemas.microsoft.com/office/drawing/2014/main" id="{2E63842A-DBE2-45E4-9AFA-98655E15B76D}"/>
            </a:ext>
          </a:extLst>
        </xdr:cNvPr>
        <xdr:cNvSpPr/>
      </xdr:nvSpPr>
      <xdr:spPr>
        <a:xfrm>
          <a:off x="14337592" y="1571366"/>
          <a:ext cx="2907140" cy="102480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6A74CD06-1E80-4D1E-9DED-44C0849F15BB}" type="TxLink">
            <a:rPr lang="en-US" sz="2000" b="0" i="0" u="none" strike="noStrike">
              <a:solidFill>
                <a:srgbClr val="000000"/>
              </a:solidFill>
              <a:latin typeface="Berlin Sans FB Demi" panose="020E0802020502020306" pitchFamily="34" charset="0"/>
              <a:ea typeface="Calibri"/>
              <a:cs typeface="Calibri"/>
            </a:rPr>
            <a:pPr marL="0" indent="0" algn="ctr"/>
            <a:t> 35,68,000 </a:t>
          </a:fld>
          <a:r>
            <a:rPr lang="en-US" sz="2000" b="0" i="0" u="none" strike="noStrike" baseline="0">
              <a:solidFill>
                <a:srgbClr val="000000"/>
              </a:solidFill>
              <a:latin typeface="Berlin Sans FB Demi" panose="020E0802020502020306" pitchFamily="34" charset="0"/>
              <a:ea typeface="Calibri"/>
              <a:cs typeface="Calibri"/>
            </a:rPr>
            <a:t> </a:t>
          </a:r>
        </a:p>
        <a:p>
          <a:pPr marL="0" indent="0" algn="ctr"/>
          <a:r>
            <a:rPr lang="en-US" sz="2000" b="0" i="0" u="none" strike="noStrike" baseline="0">
              <a:solidFill>
                <a:srgbClr val="000000"/>
              </a:solidFill>
              <a:effectLst/>
              <a:latin typeface="Berlin Sans FB Demi" panose="020E0802020502020306" pitchFamily="34" charset="0"/>
              <a:ea typeface="Calibri"/>
              <a:cs typeface="Calibri"/>
            </a:rPr>
            <a:t>TOTAL FEES</a:t>
          </a:r>
          <a:endParaRPr lang="en-IN" sz="2000">
            <a:effectLst/>
          </a:endParaRPr>
        </a:p>
        <a:p>
          <a:pPr marL="0" indent="0" algn="ctr"/>
          <a:endParaRPr lang="en-IN" sz="2000" b="1">
            <a:solidFill>
              <a:schemeClr val="dk1"/>
            </a:solidFill>
            <a:latin typeface="Berlin Sans FB Demi" panose="020E0802020502020306" pitchFamily="34" charset="0"/>
            <a:ea typeface="+mn-ea"/>
            <a:cs typeface="+mn-cs"/>
          </a:endParaRPr>
        </a:p>
      </xdr:txBody>
    </xdr:sp>
    <xdr:clientData/>
  </xdr:twoCellAnchor>
  <xdr:twoCellAnchor>
    <xdr:from>
      <xdr:col>17</xdr:col>
      <xdr:colOff>92914</xdr:colOff>
      <xdr:row>8</xdr:row>
      <xdr:rowOff>79341</xdr:rowOff>
    </xdr:from>
    <xdr:to>
      <xdr:col>21</xdr:col>
      <xdr:colOff>551716</xdr:colOff>
      <xdr:row>14</xdr:row>
      <xdr:rowOff>10845</xdr:rowOff>
    </xdr:to>
    <xdr:sp macro="" textlink="#REF!">
      <xdr:nvSpPr>
        <xdr:cNvPr id="9" name="Rectangle: Rounded Corners 8">
          <a:extLst>
            <a:ext uri="{FF2B5EF4-FFF2-40B4-BE49-F238E27FC236}">
              <a16:creationId xmlns:a16="http://schemas.microsoft.com/office/drawing/2014/main" id="{65C01A1C-692B-4022-B5FC-06506B9DD358}"/>
            </a:ext>
          </a:extLst>
        </xdr:cNvPr>
        <xdr:cNvSpPr/>
      </xdr:nvSpPr>
      <xdr:spPr>
        <a:xfrm>
          <a:off x="10860305" y="1537080"/>
          <a:ext cx="2910454" cy="102480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FB17B565-165C-497E-8BCE-1A293F980BC1}" type="TxLink">
            <a:rPr lang="en-US" sz="1800" b="0" i="0" u="none" strike="noStrike">
              <a:solidFill>
                <a:srgbClr val="000000"/>
              </a:solidFill>
              <a:latin typeface="Berlin Sans FB Demi" panose="020E0802020502020306" pitchFamily="34" charset="0"/>
              <a:ea typeface="Calibri"/>
              <a:cs typeface="Calibri"/>
            </a:rPr>
            <a:pPr marL="0" indent="0" algn="ctr"/>
            <a:t> 22,55,000 </a:t>
          </a:fld>
          <a:endParaRPr lang="en-US" sz="1800" b="0" i="0" u="none" strike="noStrike">
            <a:solidFill>
              <a:srgbClr val="000000"/>
            </a:solidFill>
            <a:latin typeface="Berlin Sans FB Demi" panose="020E0802020502020306" pitchFamily="34" charset="0"/>
            <a:ea typeface="Calibri"/>
            <a:cs typeface="Calibri"/>
          </a:endParaRPr>
        </a:p>
        <a:p>
          <a:pPr marL="0" indent="0" algn="ctr"/>
          <a:r>
            <a:rPr lang="en-US" sz="1800" b="0" i="0" u="none" strike="noStrike">
              <a:solidFill>
                <a:srgbClr val="000000"/>
              </a:solidFill>
              <a:latin typeface="Berlin Sans FB Demi" panose="020E0802020502020306" pitchFamily="34" charset="0"/>
              <a:ea typeface="Calibri"/>
              <a:cs typeface="Calibri"/>
            </a:rPr>
            <a:t>FEES</a:t>
          </a:r>
          <a:r>
            <a:rPr lang="en-US" sz="1800" b="0" i="0" u="none" strike="noStrike" baseline="0">
              <a:solidFill>
                <a:srgbClr val="000000"/>
              </a:solidFill>
              <a:latin typeface="Berlin Sans FB Demi" panose="020E0802020502020306" pitchFamily="34" charset="0"/>
              <a:ea typeface="Calibri"/>
              <a:cs typeface="Calibri"/>
            </a:rPr>
            <a:t> COLLECTED</a:t>
          </a:r>
          <a:endParaRPr lang="en-IN" sz="1800" b="1">
            <a:solidFill>
              <a:schemeClr val="dk1"/>
            </a:solidFill>
            <a:latin typeface="Berlin Sans FB Demi" panose="020E0802020502020306" pitchFamily="34" charset="0"/>
            <a:ea typeface="+mn-ea"/>
            <a:cs typeface="+mn-cs"/>
          </a:endParaRPr>
        </a:p>
      </xdr:txBody>
    </xdr:sp>
    <xdr:clientData/>
  </xdr:twoCellAnchor>
  <xdr:twoCellAnchor>
    <xdr:from>
      <xdr:col>28</xdr:col>
      <xdr:colOff>58480</xdr:colOff>
      <xdr:row>8</xdr:row>
      <xdr:rowOff>117150</xdr:rowOff>
    </xdr:from>
    <xdr:to>
      <xdr:col>32</xdr:col>
      <xdr:colOff>357509</xdr:colOff>
      <xdr:row>14</xdr:row>
      <xdr:rowOff>80511</xdr:rowOff>
    </xdr:to>
    <xdr:sp macro="" textlink="#REF!">
      <xdr:nvSpPr>
        <xdr:cNvPr id="10" name="Rectangle: Rounded Corners 9">
          <a:extLst>
            <a:ext uri="{FF2B5EF4-FFF2-40B4-BE49-F238E27FC236}">
              <a16:creationId xmlns:a16="http://schemas.microsoft.com/office/drawing/2014/main" id="{14DADDD2-1A90-4A3B-B7C9-FCA9D3CA47CF}"/>
            </a:ext>
          </a:extLst>
        </xdr:cNvPr>
        <xdr:cNvSpPr/>
      </xdr:nvSpPr>
      <xdr:spPr>
        <a:xfrm>
          <a:off x="17567915" y="1574889"/>
          <a:ext cx="2750681" cy="105666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A0102D5A-3E02-4815-9C72-A7F712942CBC}" type="TxLink">
            <a:rPr lang="en-US" sz="2000" b="0" i="0" u="none" strike="noStrike">
              <a:solidFill>
                <a:srgbClr val="000000"/>
              </a:solidFill>
              <a:latin typeface="Berlin Sans FB Demi" panose="020E0802020502020306" pitchFamily="34" charset="0"/>
              <a:ea typeface="Calibri"/>
              <a:cs typeface="Calibri"/>
            </a:rPr>
            <a:pPr marL="0" indent="0" algn="ctr"/>
            <a:t> 13,13,000 </a:t>
          </a:fld>
          <a:endParaRPr lang="en-US" sz="2000" b="0" i="0" u="none" strike="noStrike">
            <a:solidFill>
              <a:srgbClr val="000000"/>
            </a:solidFill>
            <a:latin typeface="Berlin Sans FB Demi" panose="020E0802020502020306" pitchFamily="34" charset="0"/>
            <a:ea typeface="Calibri"/>
            <a:cs typeface="Calibri"/>
          </a:endParaRPr>
        </a:p>
        <a:p>
          <a:pPr marL="0" indent="0" algn="l"/>
          <a:r>
            <a:rPr lang="en-US" sz="2000" b="0" i="0" u="none" strike="noStrike">
              <a:solidFill>
                <a:srgbClr val="000000"/>
              </a:solidFill>
              <a:latin typeface="Berlin Sans FB Demi" panose="020E0802020502020306" pitchFamily="34" charset="0"/>
              <a:ea typeface="Calibri"/>
              <a:cs typeface="Calibri"/>
            </a:rPr>
            <a:t>OUTSTANDING FEES</a:t>
          </a:r>
        </a:p>
        <a:p>
          <a:pPr marL="0" indent="0" algn="l"/>
          <a:endParaRPr lang="en-IN" sz="1100" b="1">
            <a:solidFill>
              <a:schemeClr val="dk1"/>
            </a:solidFill>
            <a:latin typeface="+mn-lt"/>
            <a:ea typeface="+mn-ea"/>
            <a:cs typeface="+mn-cs"/>
          </a:endParaRPr>
        </a:p>
      </xdr:txBody>
    </xdr:sp>
    <xdr:clientData/>
  </xdr:twoCellAnchor>
  <xdr:twoCellAnchor>
    <xdr:from>
      <xdr:col>3</xdr:col>
      <xdr:colOff>836193</xdr:colOff>
      <xdr:row>16</xdr:row>
      <xdr:rowOff>12515</xdr:rowOff>
    </xdr:from>
    <xdr:to>
      <xdr:col>14</xdr:col>
      <xdr:colOff>489613</xdr:colOff>
      <xdr:row>35</xdr:row>
      <xdr:rowOff>167808</xdr:rowOff>
    </xdr:to>
    <xdr:graphicFrame macro="">
      <xdr:nvGraphicFramePr>
        <xdr:cNvPr id="14" name="Chart 13">
          <a:extLst>
            <a:ext uri="{FF2B5EF4-FFF2-40B4-BE49-F238E27FC236}">
              <a16:creationId xmlns:a16="http://schemas.microsoft.com/office/drawing/2014/main" id="{8CD8518E-3CE0-47E1-911F-B7E1FAFD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62451</xdr:colOff>
      <xdr:row>36</xdr:row>
      <xdr:rowOff>151690</xdr:rowOff>
    </xdr:from>
    <xdr:to>
      <xdr:col>13</xdr:col>
      <xdr:colOff>135237</xdr:colOff>
      <xdr:row>39</xdr:row>
      <xdr:rowOff>18543</xdr:rowOff>
    </xdr:to>
    <xdr:sp macro="" textlink="">
      <xdr:nvSpPr>
        <xdr:cNvPr id="15" name="TextBox 14">
          <a:extLst>
            <a:ext uri="{FF2B5EF4-FFF2-40B4-BE49-F238E27FC236}">
              <a16:creationId xmlns:a16="http://schemas.microsoft.com/office/drawing/2014/main" id="{9AF0D070-9A94-C2F4-EC1F-62A684F9001B}"/>
            </a:ext>
          </a:extLst>
        </xdr:cNvPr>
        <xdr:cNvSpPr txBox="1"/>
      </xdr:nvSpPr>
      <xdr:spPr>
        <a:xfrm>
          <a:off x="3474886" y="6711516"/>
          <a:ext cx="4976090" cy="413505"/>
        </a:xfrm>
        <a:prstGeom prst="rect">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Web Development Has Highest Fee Collection</a:t>
          </a:r>
          <a:endPar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ndParaRPr>
        </a:p>
        <a:p>
          <a:endParaRPr lang="en-IN" sz="1100"/>
        </a:p>
      </xdr:txBody>
    </xdr:sp>
    <xdr:clientData/>
  </xdr:twoCellAnchor>
  <xdr:twoCellAnchor>
    <xdr:from>
      <xdr:col>16</xdr:col>
      <xdr:colOff>425325</xdr:colOff>
      <xdr:row>16</xdr:row>
      <xdr:rowOff>27215</xdr:rowOff>
    </xdr:from>
    <xdr:to>
      <xdr:col>28</xdr:col>
      <xdr:colOff>90251</xdr:colOff>
      <xdr:row>36</xdr:row>
      <xdr:rowOff>40277</xdr:rowOff>
    </xdr:to>
    <xdr:graphicFrame macro="">
      <xdr:nvGraphicFramePr>
        <xdr:cNvPr id="16" name="Chart 15">
          <a:extLst>
            <a:ext uri="{FF2B5EF4-FFF2-40B4-BE49-F238E27FC236}">
              <a16:creationId xmlns:a16="http://schemas.microsoft.com/office/drawing/2014/main" id="{8624274C-2457-4A81-B3D5-8574684CA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463767</xdr:colOff>
      <xdr:row>15</xdr:row>
      <xdr:rowOff>157141</xdr:rowOff>
    </xdr:from>
    <xdr:to>
      <xdr:col>41</xdr:col>
      <xdr:colOff>75400</xdr:colOff>
      <xdr:row>35</xdr:row>
      <xdr:rowOff>68250</xdr:rowOff>
    </xdr:to>
    <xdr:graphicFrame macro="">
      <xdr:nvGraphicFramePr>
        <xdr:cNvPr id="17" name="Chart 16">
          <a:extLst>
            <a:ext uri="{FF2B5EF4-FFF2-40B4-BE49-F238E27FC236}">
              <a16:creationId xmlns:a16="http://schemas.microsoft.com/office/drawing/2014/main" id="{6C615769-973C-42CA-8A93-3B68E6CA3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796196</xdr:colOff>
      <xdr:row>42</xdr:row>
      <xdr:rowOff>1996</xdr:rowOff>
    </xdr:from>
    <xdr:to>
      <xdr:col>15</xdr:col>
      <xdr:colOff>1183</xdr:colOff>
      <xdr:row>62</xdr:row>
      <xdr:rowOff>149087</xdr:rowOff>
    </xdr:to>
    <xdr:graphicFrame macro="">
      <xdr:nvGraphicFramePr>
        <xdr:cNvPr id="20" name="Chart 19">
          <a:extLst>
            <a:ext uri="{FF2B5EF4-FFF2-40B4-BE49-F238E27FC236}">
              <a16:creationId xmlns:a16="http://schemas.microsoft.com/office/drawing/2014/main" id="{EB8967CC-9634-4787-984B-4912FA85B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411238</xdr:colOff>
      <xdr:row>41</xdr:row>
      <xdr:rowOff>119830</xdr:rowOff>
    </xdr:from>
    <xdr:to>
      <xdr:col>41</xdr:col>
      <xdr:colOff>182218</xdr:colOff>
      <xdr:row>62</xdr:row>
      <xdr:rowOff>58264</xdr:rowOff>
    </xdr:to>
    <xdr:graphicFrame macro="">
      <xdr:nvGraphicFramePr>
        <xdr:cNvPr id="21" name="Chart 20">
          <a:extLst>
            <a:ext uri="{FF2B5EF4-FFF2-40B4-BE49-F238E27FC236}">
              <a16:creationId xmlns:a16="http://schemas.microsoft.com/office/drawing/2014/main" id="{EA4AF131-1DBD-453B-9BFB-0866CFB94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548331</xdr:colOff>
      <xdr:row>41</xdr:row>
      <xdr:rowOff>165379</xdr:rowOff>
    </xdr:from>
    <xdr:to>
      <xdr:col>27</xdr:col>
      <xdr:colOff>564097</xdr:colOff>
      <xdr:row>51</xdr:row>
      <xdr:rowOff>62120</xdr:rowOff>
    </xdr:to>
    <mc:AlternateContent xmlns:mc="http://schemas.openxmlformats.org/markup-compatibility/2006">
      <mc:Choice xmlns:a14="http://schemas.microsoft.com/office/drawing/2010/main" Requires="a14">
        <xdr:graphicFrame macro="">
          <xdr:nvGraphicFramePr>
            <xdr:cNvPr id="22" name="Branch">
              <a:extLst>
                <a:ext uri="{FF2B5EF4-FFF2-40B4-BE49-F238E27FC236}">
                  <a16:creationId xmlns:a16="http://schemas.microsoft.com/office/drawing/2014/main" id="{37012A6D-F952-9751-160D-ABD508A9BED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5436639" y="7375071"/>
              <a:ext cx="1832843" cy="1655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172712</xdr:colOff>
      <xdr:row>41</xdr:row>
      <xdr:rowOff>182184</xdr:rowOff>
    </xdr:from>
    <xdr:to>
      <xdr:col>23</xdr:col>
      <xdr:colOff>188476</xdr:colOff>
      <xdr:row>52</xdr:row>
      <xdr:rowOff>149841</xdr:rowOff>
    </xdr:to>
    <mc:AlternateContent xmlns:mc="http://schemas.openxmlformats.org/markup-compatibility/2006">
      <mc:Choice xmlns:a14="http://schemas.microsoft.com/office/drawing/2010/main" Requires="a14">
        <xdr:graphicFrame macro="">
          <xdr:nvGraphicFramePr>
            <xdr:cNvPr id="23" name="Course">
              <a:extLst>
                <a:ext uri="{FF2B5EF4-FFF2-40B4-BE49-F238E27FC236}">
                  <a16:creationId xmlns:a16="http://schemas.microsoft.com/office/drawing/2014/main" id="{D93612BF-BEA0-0F78-929B-C799D7D7D9A1}"/>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12638250" y="7391876"/>
              <a:ext cx="1832841" cy="1901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544241</xdr:colOff>
      <xdr:row>41</xdr:row>
      <xdr:rowOff>123018</xdr:rowOff>
    </xdr:from>
    <xdr:to>
      <xdr:col>18</xdr:col>
      <xdr:colOff>560007</xdr:colOff>
      <xdr:row>48</xdr:row>
      <xdr:rowOff>92238</xdr:rowOff>
    </xdr:to>
    <mc:AlternateContent xmlns:mc="http://schemas.openxmlformats.org/markup-compatibility/2006">
      <mc:Choice xmlns:a14="http://schemas.microsoft.com/office/drawing/2010/main" Requires="a14">
        <xdr:graphicFrame macro="">
          <xdr:nvGraphicFramePr>
            <xdr:cNvPr id="24" name="Fee Status">
              <a:extLst>
                <a:ext uri="{FF2B5EF4-FFF2-40B4-BE49-F238E27FC236}">
                  <a16:creationId xmlns:a16="http://schemas.microsoft.com/office/drawing/2014/main" id="{A9F8BF51-0F85-7EB1-E3D1-8F2F58A9CE24}"/>
                </a:ext>
              </a:extLst>
            </xdr:cNvPr>
            <xdr:cNvGraphicFramePr/>
          </xdr:nvGraphicFramePr>
          <xdr:xfrm>
            <a:off x="0" y="0"/>
            <a:ext cx="0" cy="0"/>
          </xdr:xfrm>
          <a:graphic>
            <a:graphicData uri="http://schemas.microsoft.com/office/drawing/2010/slicer">
              <sle:slicer xmlns:sle="http://schemas.microsoft.com/office/drawing/2010/slicer" name="Fee Status"/>
            </a:graphicData>
          </a:graphic>
        </xdr:graphicFrame>
      </mc:Choice>
      <mc:Fallback>
        <xdr:sp macro="" textlink="">
          <xdr:nvSpPr>
            <xdr:cNvPr id="0" name=""/>
            <xdr:cNvSpPr>
              <a:spLocks noTextEdit="1"/>
            </xdr:cNvSpPr>
          </xdr:nvSpPr>
          <xdr:spPr>
            <a:xfrm>
              <a:off x="9981318" y="7332710"/>
              <a:ext cx="1832843" cy="1200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475482</xdr:colOff>
      <xdr:row>36</xdr:row>
      <xdr:rowOff>154705</xdr:rowOff>
    </xdr:from>
    <xdr:to>
      <xdr:col>27</xdr:col>
      <xdr:colOff>302999</xdr:colOff>
      <xdr:row>38</xdr:row>
      <xdr:rowOff>154706</xdr:rowOff>
    </xdr:to>
    <xdr:sp macro="" textlink="">
      <xdr:nvSpPr>
        <xdr:cNvPr id="25" name="TextBox 24">
          <a:extLst>
            <a:ext uri="{FF2B5EF4-FFF2-40B4-BE49-F238E27FC236}">
              <a16:creationId xmlns:a16="http://schemas.microsoft.com/office/drawing/2014/main" id="{C6D001BD-4A30-E4E3-BD9C-EEB9F325883C}"/>
            </a:ext>
          </a:extLst>
        </xdr:cNvPr>
        <xdr:cNvSpPr txBox="1"/>
      </xdr:nvSpPr>
      <xdr:spPr>
        <a:xfrm>
          <a:off x="11242873" y="6714531"/>
          <a:ext cx="5956648" cy="36443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Pune Branch Has Most Students </a:t>
          </a:r>
        </a:p>
      </xdr:txBody>
    </xdr:sp>
    <xdr:clientData/>
  </xdr:twoCellAnchor>
  <xdr:twoCellAnchor>
    <xdr:from>
      <xdr:col>30</xdr:col>
      <xdr:colOff>393367</xdr:colOff>
      <xdr:row>36</xdr:row>
      <xdr:rowOff>129688</xdr:rowOff>
    </xdr:from>
    <xdr:to>
      <xdr:col>40</xdr:col>
      <xdr:colOff>447261</xdr:colOff>
      <xdr:row>39</xdr:row>
      <xdr:rowOff>82826</xdr:rowOff>
    </xdr:to>
    <xdr:sp macro="" textlink="">
      <xdr:nvSpPr>
        <xdr:cNvPr id="26" name="TextBox 25">
          <a:extLst>
            <a:ext uri="{FF2B5EF4-FFF2-40B4-BE49-F238E27FC236}">
              <a16:creationId xmlns:a16="http://schemas.microsoft.com/office/drawing/2014/main" id="{A9C78ADB-8084-5AAF-42B3-0994D7E10B27}"/>
            </a:ext>
          </a:extLst>
        </xdr:cNvPr>
        <xdr:cNvSpPr txBox="1"/>
      </xdr:nvSpPr>
      <xdr:spPr>
        <a:xfrm>
          <a:off x="19128628" y="6689514"/>
          <a:ext cx="6183024" cy="49979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approximately 63% Fees Collected and 37% fees </a:t>
          </a:r>
          <a:r>
            <a:rPr lang="en-IN" sz="1600" b="1" cap="none" spc="0" baseline="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Pending </a:t>
          </a:r>
          <a:endPar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endParaRPr>
        </a:p>
        <a:p>
          <a:endParaRPr lang="en-IN" sz="1100"/>
        </a:p>
      </xdr:txBody>
    </xdr:sp>
    <xdr:clientData/>
  </xdr:twoCellAnchor>
  <xdr:twoCellAnchor>
    <xdr:from>
      <xdr:col>5</xdr:col>
      <xdr:colOff>430487</xdr:colOff>
      <xdr:row>64</xdr:row>
      <xdr:rowOff>50590</xdr:rowOff>
    </xdr:from>
    <xdr:to>
      <xdr:col>12</xdr:col>
      <xdr:colOff>66511</xdr:colOff>
      <xdr:row>66</xdr:row>
      <xdr:rowOff>99391</xdr:rowOff>
    </xdr:to>
    <xdr:sp macro="" textlink="">
      <xdr:nvSpPr>
        <xdr:cNvPr id="27" name="TextBox 26">
          <a:extLst>
            <a:ext uri="{FF2B5EF4-FFF2-40B4-BE49-F238E27FC236}">
              <a16:creationId xmlns:a16="http://schemas.microsoft.com/office/drawing/2014/main" id="{37770FBB-EDC2-0961-2126-06C94C48E5B9}"/>
            </a:ext>
          </a:extLst>
        </xdr:cNvPr>
        <xdr:cNvSpPr txBox="1"/>
      </xdr:nvSpPr>
      <xdr:spPr>
        <a:xfrm>
          <a:off x="3842922" y="11712503"/>
          <a:ext cx="3926415" cy="41323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cap="none" spc="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Solapur Has the highest outstanding</a:t>
          </a:r>
          <a:r>
            <a:rPr lang="en-IN" sz="1600" b="1" cap="none" spc="0" baseline="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 Fees</a:t>
          </a:r>
          <a:endParaRPr lang="en-IN" sz="1400">
            <a:effectLst/>
            <a:latin typeface="Berlin Sans FB Demi" panose="020E0802020502020306" pitchFamily="34" charset="0"/>
          </a:endParaRPr>
        </a:p>
      </xdr:txBody>
    </xdr:sp>
    <xdr:clientData/>
  </xdr:twoCellAnchor>
  <xdr:twoCellAnchor>
    <xdr:from>
      <xdr:col>31</xdr:col>
      <xdr:colOff>575322</xdr:colOff>
      <xdr:row>63</xdr:row>
      <xdr:rowOff>48781</xdr:rowOff>
    </xdr:from>
    <xdr:to>
      <xdr:col>39</xdr:col>
      <xdr:colOff>399477</xdr:colOff>
      <xdr:row>65</xdr:row>
      <xdr:rowOff>92744</xdr:rowOff>
    </xdr:to>
    <xdr:sp macro="" textlink="">
      <xdr:nvSpPr>
        <xdr:cNvPr id="28" name="TextBox 27">
          <a:extLst>
            <a:ext uri="{FF2B5EF4-FFF2-40B4-BE49-F238E27FC236}">
              <a16:creationId xmlns:a16="http://schemas.microsoft.com/office/drawing/2014/main" id="{AC5F617A-47CA-1DEA-093C-EF8A2A1CB603}"/>
            </a:ext>
          </a:extLst>
        </xdr:cNvPr>
        <xdr:cNvSpPr txBox="1"/>
      </xdr:nvSpPr>
      <xdr:spPr>
        <a:xfrm>
          <a:off x="19923496" y="11528477"/>
          <a:ext cx="4727459" cy="408397"/>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cap="none" spc="0" baseline="0">
              <a:ln w="9525">
                <a:solidFill>
                  <a:schemeClr val="bg1"/>
                </a:solidFill>
                <a:prstDash val="solid"/>
              </a:ln>
              <a:solidFill>
                <a:srgbClr val="002060"/>
              </a:solidFill>
              <a:effectLst>
                <a:outerShdw blurRad="12700" dist="38100" dir="2700000" algn="tl" rotWithShape="0">
                  <a:schemeClr val="accent5">
                    <a:lumMod val="60000"/>
                    <a:lumOff val="40000"/>
                  </a:schemeClr>
                </a:outerShdw>
              </a:effectLst>
              <a:latin typeface="Berlin Sans FB Demi" panose="020E0802020502020306" pitchFamily="34" charset="0"/>
              <a:ea typeface="+mn-ea"/>
              <a:cs typeface="+mn-cs"/>
            </a:rPr>
            <a:t>web development needs most fee followup</a:t>
          </a:r>
          <a:endParaRPr lang="en-IN" sz="1600">
            <a:effectLst/>
            <a:latin typeface="Berlin Sans FB Demi" panose="020E0802020502020306" pitchFamily="34" charset="0"/>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xit" refreshedDate="46314.615334837959" createdVersion="8" refreshedVersion="8" minRefreshableVersion="3" recordCount="100" xr:uid="{46BE0F3E-723E-4003-A600-02CD6026FD7A}">
  <cacheSource type="worksheet">
    <worksheetSource name="StudentFees"/>
  </cacheSource>
  <cacheFields count="11">
    <cacheField name="Reg Number" numFmtId="0">
      <sharedItems count="100">
        <s v="REG-0001"/>
        <s v="REG-0002"/>
        <s v="REG-0003"/>
        <s v="REG-0004"/>
        <s v="REG-0005"/>
        <s v="REG-0006"/>
        <s v="REG-0007"/>
        <s v="REG-0008"/>
        <s v="REG-0009"/>
        <s v="REG-0010"/>
        <s v="REG-0011"/>
        <s v="REG-0012"/>
        <s v="REG-0013"/>
        <s v="REG-0014"/>
        <s v="REG-0015"/>
        <s v="REG-0016"/>
        <s v="REG-0017"/>
        <s v="REG-0018"/>
        <s v="REG-0019"/>
        <s v="REG-0020"/>
        <s v="REG-0021"/>
        <s v="REG-0022"/>
        <s v="REG-0023"/>
        <s v="REG-0024"/>
        <s v="REG-0025"/>
        <s v="REG-0026"/>
        <s v="REG-0027"/>
        <s v="REG-0028"/>
        <s v="REG-0029"/>
        <s v="REG-0030"/>
        <s v="REG-0031"/>
        <s v="REG-0032"/>
        <s v="REG-0033"/>
        <s v="REG-0034"/>
        <s v="REG-0035"/>
        <s v="REG-0036"/>
        <s v="REG-0037"/>
        <s v="REG-0038"/>
        <s v="REG-0039"/>
        <s v="REG-0040"/>
        <s v="REG-0041"/>
        <s v="REG-0042"/>
        <s v="REG-0043"/>
        <s v="REG-0044"/>
        <s v="REG-0045"/>
        <s v="REG-0046"/>
        <s v="REG-0047"/>
        <s v="REG-0048"/>
        <s v="REG-0049"/>
        <s v="REG-0050"/>
        <s v="REG-0051"/>
        <s v="REG-0052"/>
        <s v="REG-0053"/>
        <s v="REG-0054"/>
        <s v="REG-0055"/>
        <s v="REG-0056"/>
        <s v="REG-0057"/>
        <s v="REG-0058"/>
        <s v="REG-0059"/>
        <s v="REG-0060"/>
        <s v="REG-0061"/>
        <s v="REG-0062"/>
        <s v="REG-0063"/>
        <s v="REG-0064"/>
        <s v="REG-0065"/>
        <s v="REG-0066"/>
        <s v="REG-0067"/>
        <s v="REG-0068"/>
        <s v="REG-0069"/>
        <s v="REG-0070"/>
        <s v="REG-0071"/>
        <s v="REG-0072"/>
        <s v="REG-0073"/>
        <s v="REG-0074"/>
        <s v="REG-0075"/>
        <s v="REG-0076"/>
        <s v="REG-0077"/>
        <s v="REG-0078"/>
        <s v="REG-0079"/>
        <s v="REG-0080"/>
        <s v="REG-0081"/>
        <s v="REG-0082"/>
        <s v="REG-0083"/>
        <s v="REG-0084"/>
        <s v="REG-0085"/>
        <s v="REG-0086"/>
        <s v="REG-0087"/>
        <s v="REG-0088"/>
        <s v="REG-0089"/>
        <s v="REG-0090"/>
        <s v="REG-0091"/>
        <s v="REG-0092"/>
        <s v="REG-0093"/>
        <s v="REG-0094"/>
        <s v="REG-0095"/>
        <s v="REG-0096"/>
        <s v="REG-0097"/>
        <s v="REG-0098"/>
        <s v="REG-0099"/>
        <s v="REG-0100"/>
      </sharedItems>
    </cacheField>
    <cacheField name="Student Name" numFmtId="0">
      <sharedItems/>
    </cacheField>
    <cacheField name="Branch" numFmtId="0">
      <sharedItems count="5">
        <s v="Mumbai"/>
        <s v="Pune"/>
        <s v="Nashik"/>
        <s v="Solapur"/>
        <s v="Kolhapur"/>
      </sharedItems>
    </cacheField>
    <cacheField name="Course" numFmtId="0">
      <sharedItems count="6">
        <s v="Web Development"/>
        <s v="Digital Marketing"/>
        <s v="Power BI"/>
        <s v="Data Analytics"/>
        <s v="Java Development"/>
        <s v="Python Programming"/>
      </sharedItems>
    </cacheField>
    <cacheField name="Admission Date" numFmtId="165">
      <sharedItems containsSemiMixedTypes="0" containsNonDate="0" containsDate="1" containsString="0" minDate="2025-01-11T00:00:00" maxDate="2026-10-09T00:00:00"/>
    </cacheField>
    <cacheField name="Total Fee" numFmtId="166">
      <sharedItems containsSemiMixedTypes="0" containsString="0" containsNumber="1" containsInteger="1" minValue="20000" maxValue="45000"/>
    </cacheField>
    <cacheField name="Paid Fees" numFmtId="166">
      <sharedItems containsSemiMixedTypes="0" containsString="0" containsNumber="1" containsInteger="1" minValue="0" maxValue="45000"/>
    </cacheField>
    <cacheField name="Remaining Fees" numFmtId="166">
      <sharedItems containsSemiMixedTypes="0" containsString="0" containsNumber="1" containsInteger="1" minValue="0" maxValue="45000" count="30">
        <n v="0"/>
        <n v="45000"/>
        <n v="20000"/>
        <n v="9000"/>
        <n v="7000"/>
        <n v="31500"/>
        <n v="10000"/>
        <n v="16000"/>
        <n v="11000"/>
        <n v="37000"/>
        <n v="22500"/>
        <n v="38000"/>
        <n v="14000"/>
        <n v="40000"/>
        <n v="6500"/>
        <n v="13000"/>
        <n v="19500"/>
        <n v="21500"/>
        <n v="23000"/>
        <n v="24000"/>
        <n v="36000"/>
        <n v="12000"/>
        <n v="18000"/>
        <n v="32000"/>
        <n v="15000"/>
        <n v="25000"/>
        <n v="16500"/>
        <n v="19000"/>
        <n v="22000"/>
        <n v="12500"/>
      </sharedItems>
    </cacheField>
    <cacheField name="Fee Status" numFmtId="0">
      <sharedItems count="3">
        <s v="Paid"/>
        <s v="Unpaid"/>
        <s v="Partial"/>
      </sharedItems>
    </cacheField>
    <cacheField name="Payment Mode" numFmtId="0">
      <sharedItems/>
    </cacheField>
    <cacheField name="Column1" numFmtId="0">
      <sharedItems containsSemiMixedTypes="0" containsString="0" containsNumber="1" containsInteger="1" minValue="20000" maxValue="45000"/>
    </cacheField>
  </cacheFields>
  <extLst>
    <ext xmlns:x14="http://schemas.microsoft.com/office/spreadsheetml/2009/9/main" uri="{725AE2AE-9491-48be-B2B4-4EB974FC3084}">
      <x14:pivotCacheDefinition pivotCacheId="900176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Anjali Desai"/>
    <x v="0"/>
    <x v="0"/>
    <d v="2025-01-11T00:00:00"/>
    <n v="40000"/>
    <n v="40000"/>
    <x v="0"/>
    <x v="0"/>
    <s v="Cash"/>
    <n v="40000"/>
  </r>
  <r>
    <x v="1"/>
    <s v="Mayuri Jadhav"/>
    <x v="1"/>
    <x v="1"/>
    <d v="2025-01-20T00:00:00"/>
    <n v="28000"/>
    <n v="28000"/>
    <x v="0"/>
    <x v="0"/>
    <s v="Net Banking"/>
    <n v="28000"/>
  </r>
  <r>
    <x v="2"/>
    <s v="Rutuja Mane"/>
    <x v="2"/>
    <x v="2"/>
    <d v="2025-01-21T00:00:00"/>
    <n v="25000"/>
    <n v="25000"/>
    <x v="0"/>
    <x v="0"/>
    <s v="Credit Card"/>
    <n v="25000"/>
  </r>
  <r>
    <x v="3"/>
    <s v="Pratik Kale"/>
    <x v="0"/>
    <x v="3"/>
    <d v="2025-01-29T00:00:00"/>
    <n v="45000"/>
    <n v="0"/>
    <x v="1"/>
    <x v="1"/>
    <s v="Debit Card"/>
    <n v="45000"/>
  </r>
  <r>
    <x v="4"/>
    <s v="Gauri Sawant"/>
    <x v="1"/>
    <x v="2"/>
    <d v="2025-02-02T00:00:00"/>
    <n v="25000"/>
    <n v="5000"/>
    <x v="2"/>
    <x v="2"/>
    <s v="Cash"/>
    <n v="25000"/>
  </r>
  <r>
    <x v="5"/>
    <s v="Riya Ingale"/>
    <x v="2"/>
    <x v="1"/>
    <d v="2025-02-13T00:00:00"/>
    <n v="30000"/>
    <n v="30000"/>
    <x v="0"/>
    <x v="0"/>
    <s v="UPI"/>
    <n v="30000"/>
  </r>
  <r>
    <x v="6"/>
    <s v="Aarav Kale"/>
    <x v="3"/>
    <x v="0"/>
    <d v="2025-03-05T00:00:00"/>
    <n v="40000"/>
    <n v="40000"/>
    <x v="0"/>
    <x v="0"/>
    <s v="Credit Card"/>
    <n v="40000"/>
  </r>
  <r>
    <x v="7"/>
    <s v="Rasika Waghmare"/>
    <x v="0"/>
    <x v="4"/>
    <d v="2025-03-08T00:00:00"/>
    <n v="36000"/>
    <n v="27000"/>
    <x v="3"/>
    <x v="2"/>
    <s v="UPI"/>
    <n v="36000"/>
  </r>
  <r>
    <x v="8"/>
    <s v="Vishal Phadtare"/>
    <x v="0"/>
    <x v="5"/>
    <d v="2025-03-11T00:00:00"/>
    <n v="28000"/>
    <n v="21000"/>
    <x v="4"/>
    <x v="2"/>
    <s v="Credit Card"/>
    <n v="28000"/>
  </r>
  <r>
    <x v="9"/>
    <s v="Aditya Lokhande"/>
    <x v="1"/>
    <x v="5"/>
    <d v="2025-03-12T00:00:00"/>
    <n v="28000"/>
    <n v="28000"/>
    <x v="0"/>
    <x v="0"/>
    <s v="UPI"/>
    <n v="28000"/>
  </r>
  <r>
    <x v="10"/>
    <s v="Prachi Sharma"/>
    <x v="4"/>
    <x v="3"/>
    <d v="2025-04-11T00:00:00"/>
    <n v="45000"/>
    <n v="45000"/>
    <x v="0"/>
    <x v="0"/>
    <s v="UPI"/>
    <n v="45000"/>
  </r>
  <r>
    <x v="11"/>
    <s v="Shubham Joshi"/>
    <x v="0"/>
    <x v="0"/>
    <d v="2025-04-12T00:00:00"/>
    <n v="40000"/>
    <n v="40000"/>
    <x v="0"/>
    <x v="0"/>
    <s v="Credit Card"/>
    <n v="40000"/>
  </r>
  <r>
    <x v="12"/>
    <s v="Divya Bhosale"/>
    <x v="4"/>
    <x v="4"/>
    <d v="2025-04-12T00:00:00"/>
    <n v="38000"/>
    <n v="38000"/>
    <x v="0"/>
    <x v="0"/>
    <s v="UPI"/>
    <n v="38000"/>
  </r>
  <r>
    <x v="13"/>
    <s v="Rutuja Phadtare"/>
    <x v="3"/>
    <x v="3"/>
    <d v="2025-04-14T00:00:00"/>
    <n v="45000"/>
    <n v="13500"/>
    <x v="5"/>
    <x v="2"/>
    <s v="UPI"/>
    <n v="45000"/>
  </r>
  <r>
    <x v="14"/>
    <s v="Pooja Dixit"/>
    <x v="1"/>
    <x v="1"/>
    <d v="2025-04-14T00:00:00"/>
    <n v="30000"/>
    <n v="30000"/>
    <x v="0"/>
    <x v="0"/>
    <s v="Credit Card"/>
    <n v="30000"/>
  </r>
  <r>
    <x v="15"/>
    <s v="Nisha Kamble"/>
    <x v="2"/>
    <x v="3"/>
    <d v="2025-04-19T00:00:00"/>
    <n v="45000"/>
    <n v="45000"/>
    <x v="0"/>
    <x v="0"/>
    <s v="Cash"/>
    <n v="45000"/>
  </r>
  <r>
    <x v="16"/>
    <s v="Neha Kale"/>
    <x v="0"/>
    <x v="5"/>
    <d v="2025-04-24T00:00:00"/>
    <n v="25000"/>
    <n v="25000"/>
    <x v="0"/>
    <x v="0"/>
    <s v="Cash"/>
    <n v="25000"/>
  </r>
  <r>
    <x v="17"/>
    <s v="Payal Birajdar"/>
    <x v="4"/>
    <x v="2"/>
    <d v="2025-04-24T00:00:00"/>
    <n v="25000"/>
    <n v="15000"/>
    <x v="6"/>
    <x v="2"/>
    <s v="UPI"/>
    <n v="25000"/>
  </r>
  <r>
    <x v="18"/>
    <s v="Vivaan Shaikh"/>
    <x v="1"/>
    <x v="0"/>
    <d v="2025-04-28T00:00:00"/>
    <n v="40000"/>
    <n v="24000"/>
    <x v="7"/>
    <x v="2"/>
    <s v="Cash"/>
    <n v="40000"/>
  </r>
  <r>
    <x v="19"/>
    <s v="Manasi Birajdar"/>
    <x v="2"/>
    <x v="1"/>
    <d v="2025-05-08T00:00:00"/>
    <n v="30000"/>
    <n v="30000"/>
    <x v="0"/>
    <x v="0"/>
    <s v="Cash"/>
    <n v="30000"/>
  </r>
  <r>
    <x v="20"/>
    <s v="Gauri Naik"/>
    <x v="1"/>
    <x v="2"/>
    <d v="2025-05-08T00:00:00"/>
    <n v="22000"/>
    <n v="22000"/>
    <x v="0"/>
    <x v="0"/>
    <s v="Credit Card"/>
    <n v="22000"/>
  </r>
  <r>
    <x v="21"/>
    <s v="Pallavi Shinde"/>
    <x v="1"/>
    <x v="1"/>
    <d v="2025-05-11T00:00:00"/>
    <n v="27000"/>
    <n v="16000"/>
    <x v="8"/>
    <x v="2"/>
    <s v="Cash"/>
    <n v="27000"/>
  </r>
  <r>
    <x v="22"/>
    <s v="Swati Phadtare"/>
    <x v="3"/>
    <x v="4"/>
    <d v="2025-05-21T00:00:00"/>
    <n v="38000"/>
    <n v="38000"/>
    <x v="0"/>
    <x v="0"/>
    <s v="Cash"/>
    <n v="38000"/>
  </r>
  <r>
    <x v="23"/>
    <s v="Shubham Sharma"/>
    <x v="3"/>
    <x v="3"/>
    <d v="2025-06-15T00:00:00"/>
    <n v="45000"/>
    <n v="34000"/>
    <x v="8"/>
    <x v="2"/>
    <s v="Net Banking"/>
    <n v="45000"/>
  </r>
  <r>
    <x v="24"/>
    <s v="Madhuri Waghmare"/>
    <x v="2"/>
    <x v="5"/>
    <d v="2025-06-20T00:00:00"/>
    <n v="28000"/>
    <n v="28000"/>
    <x v="0"/>
    <x v="0"/>
    <s v="Cash"/>
    <n v="28000"/>
  </r>
  <r>
    <x v="25"/>
    <s v="Komal Jadhav"/>
    <x v="1"/>
    <x v="0"/>
    <d v="2025-06-30T00:00:00"/>
    <n v="40000"/>
    <n v="40000"/>
    <x v="0"/>
    <x v="0"/>
    <s v="Debit Card"/>
    <n v="40000"/>
  </r>
  <r>
    <x v="26"/>
    <s v="Shubham Mane"/>
    <x v="3"/>
    <x v="5"/>
    <d v="2025-07-03T00:00:00"/>
    <n v="25000"/>
    <n v="25000"/>
    <x v="0"/>
    <x v="0"/>
    <s v="Net Banking"/>
    <n v="25000"/>
  </r>
  <r>
    <x v="27"/>
    <s v="Harsh Phadtare"/>
    <x v="3"/>
    <x v="3"/>
    <d v="2025-07-06T00:00:00"/>
    <n v="45000"/>
    <n v="0"/>
    <x v="1"/>
    <x v="1"/>
    <s v="UPI"/>
    <n v="45000"/>
  </r>
  <r>
    <x v="28"/>
    <s v="Riya Naik"/>
    <x v="4"/>
    <x v="0"/>
    <d v="2025-07-11T00:00:00"/>
    <n v="37000"/>
    <n v="0"/>
    <x v="9"/>
    <x v="1"/>
    <s v="Cash"/>
    <n v="37000"/>
  </r>
  <r>
    <x v="29"/>
    <s v="Divya Salunkhe"/>
    <x v="0"/>
    <x v="5"/>
    <d v="2025-07-14T00:00:00"/>
    <n v="28000"/>
    <n v="28000"/>
    <x v="0"/>
    <x v="0"/>
    <s v="UPI"/>
    <n v="28000"/>
  </r>
  <r>
    <x v="30"/>
    <s v="Tejaswini Bhosale"/>
    <x v="3"/>
    <x v="3"/>
    <d v="2025-08-13T00:00:00"/>
    <n v="45000"/>
    <n v="22500"/>
    <x v="10"/>
    <x v="2"/>
    <s v="Net Banking"/>
    <n v="45000"/>
  </r>
  <r>
    <x v="31"/>
    <s v="Ankita Kale"/>
    <x v="2"/>
    <x v="4"/>
    <d v="2025-08-13T00:00:00"/>
    <n v="38000"/>
    <n v="0"/>
    <x v="11"/>
    <x v="1"/>
    <s v="Cash"/>
    <n v="38000"/>
  </r>
  <r>
    <x v="32"/>
    <s v="Pallavi Birajdar"/>
    <x v="1"/>
    <x v="5"/>
    <d v="2025-08-14T00:00:00"/>
    <n v="28000"/>
    <n v="14000"/>
    <x v="12"/>
    <x v="2"/>
    <s v="Debit Card"/>
    <n v="28000"/>
  </r>
  <r>
    <x v="33"/>
    <s v="Aarav Jadhav"/>
    <x v="1"/>
    <x v="0"/>
    <d v="2025-08-15T00:00:00"/>
    <n v="40000"/>
    <n v="40000"/>
    <x v="0"/>
    <x v="0"/>
    <s v="UPI"/>
    <n v="40000"/>
  </r>
  <r>
    <x v="34"/>
    <s v="Harsh Waghmare"/>
    <x v="0"/>
    <x v="0"/>
    <d v="2025-08-30T00:00:00"/>
    <n v="40000"/>
    <n v="0"/>
    <x v="13"/>
    <x v="1"/>
    <s v="Cash"/>
    <n v="40000"/>
  </r>
  <r>
    <x v="35"/>
    <s v="Vishal Patil"/>
    <x v="4"/>
    <x v="5"/>
    <d v="2025-09-03T00:00:00"/>
    <n v="26000"/>
    <n v="19500"/>
    <x v="14"/>
    <x v="2"/>
    <s v="UPI"/>
    <n v="26000"/>
  </r>
  <r>
    <x v="36"/>
    <s v="Ganesh Patil"/>
    <x v="2"/>
    <x v="5"/>
    <d v="2025-09-20T00:00:00"/>
    <n v="26000"/>
    <n v="13000"/>
    <x v="15"/>
    <x v="2"/>
    <s v="Cash"/>
    <n v="26000"/>
  </r>
  <r>
    <x v="37"/>
    <s v="Gauri Kale"/>
    <x v="0"/>
    <x v="5"/>
    <d v="2025-09-25T00:00:00"/>
    <n v="28000"/>
    <n v="8500"/>
    <x v="16"/>
    <x v="2"/>
    <s v="Cash"/>
    <n v="28000"/>
  </r>
  <r>
    <x v="38"/>
    <s v="Sakshi Chavan"/>
    <x v="1"/>
    <x v="3"/>
    <d v="2025-09-26T00:00:00"/>
    <n v="45000"/>
    <n v="45000"/>
    <x v="0"/>
    <x v="0"/>
    <s v="UPI"/>
    <n v="45000"/>
  </r>
  <r>
    <x v="39"/>
    <s v="Manasi Phadtare"/>
    <x v="3"/>
    <x v="1"/>
    <d v="2025-09-30T00:00:00"/>
    <n v="27000"/>
    <n v="5500"/>
    <x v="17"/>
    <x v="2"/>
    <s v="Cash"/>
    <n v="27000"/>
  </r>
  <r>
    <x v="40"/>
    <s v="Prachi Salunkhe"/>
    <x v="0"/>
    <x v="1"/>
    <d v="2025-10-02T00:00:00"/>
    <n v="30000"/>
    <n v="30000"/>
    <x v="0"/>
    <x v="0"/>
    <s v="UPI"/>
    <n v="30000"/>
  </r>
  <r>
    <x v="41"/>
    <s v="Riya Phadtare"/>
    <x v="1"/>
    <x v="0"/>
    <d v="2025-10-03T00:00:00"/>
    <n v="35000"/>
    <n v="21000"/>
    <x v="12"/>
    <x v="2"/>
    <s v="Net Banking"/>
    <n v="35000"/>
  </r>
  <r>
    <x v="42"/>
    <s v="Prachi Birajdar"/>
    <x v="4"/>
    <x v="4"/>
    <d v="2025-10-07T00:00:00"/>
    <n v="38000"/>
    <n v="15000"/>
    <x v="18"/>
    <x v="2"/>
    <s v="UPI"/>
    <n v="38000"/>
  </r>
  <r>
    <x v="43"/>
    <s v="Aditya Waghmare"/>
    <x v="3"/>
    <x v="0"/>
    <d v="2025-10-13T00:00:00"/>
    <n v="40000"/>
    <n v="16000"/>
    <x v="19"/>
    <x v="2"/>
    <s v="Credit Card"/>
    <n v="40000"/>
  </r>
  <r>
    <x v="44"/>
    <s v="Tejaswini Mulla"/>
    <x v="1"/>
    <x v="0"/>
    <d v="2025-10-16T00:00:00"/>
    <n v="37000"/>
    <n v="37000"/>
    <x v="0"/>
    <x v="0"/>
    <s v="UPI"/>
    <n v="37000"/>
  </r>
  <r>
    <x v="45"/>
    <s v="Payal Kulkarni"/>
    <x v="2"/>
    <x v="3"/>
    <d v="2025-10-20T00:00:00"/>
    <n v="45000"/>
    <n v="34000"/>
    <x v="8"/>
    <x v="2"/>
    <s v="UPI"/>
    <n v="45000"/>
  </r>
  <r>
    <x v="46"/>
    <s v="Nikhil Mane"/>
    <x v="1"/>
    <x v="3"/>
    <d v="2025-10-27T00:00:00"/>
    <n v="45000"/>
    <n v="9000"/>
    <x v="20"/>
    <x v="2"/>
    <s v="Debit Card"/>
    <n v="45000"/>
  </r>
  <r>
    <x v="47"/>
    <s v="Komal Mulla"/>
    <x v="0"/>
    <x v="0"/>
    <d v="2025-10-31T00:00:00"/>
    <n v="40000"/>
    <n v="40000"/>
    <x v="0"/>
    <x v="0"/>
    <s v="Net Banking"/>
    <n v="40000"/>
  </r>
  <r>
    <x v="48"/>
    <s v="Omkar Sharma"/>
    <x v="4"/>
    <x v="1"/>
    <d v="2025-11-03T00:00:00"/>
    <n v="30000"/>
    <n v="18000"/>
    <x v="21"/>
    <x v="2"/>
    <s v="Cash"/>
    <n v="30000"/>
  </r>
  <r>
    <x v="49"/>
    <s v="Shubham Gupta"/>
    <x v="3"/>
    <x v="1"/>
    <d v="2025-11-19T00:00:00"/>
    <n v="30000"/>
    <n v="6000"/>
    <x v="19"/>
    <x v="2"/>
    <s v="Net Banking"/>
    <n v="30000"/>
  </r>
  <r>
    <x v="50"/>
    <s v="Kavita Gupta"/>
    <x v="2"/>
    <x v="3"/>
    <d v="2025-11-23T00:00:00"/>
    <n v="45000"/>
    <n v="27000"/>
    <x v="22"/>
    <x v="2"/>
    <s v="Cash"/>
    <n v="45000"/>
  </r>
  <r>
    <x v="51"/>
    <s v="Yash Bhosale"/>
    <x v="3"/>
    <x v="3"/>
    <d v="2025-11-24T00:00:00"/>
    <n v="45000"/>
    <n v="13500"/>
    <x v="5"/>
    <x v="2"/>
    <s v="UPI"/>
    <n v="45000"/>
  </r>
  <r>
    <x v="52"/>
    <s v="Aishwarya Thorat"/>
    <x v="1"/>
    <x v="0"/>
    <d v="2025-11-24T00:00:00"/>
    <n v="40000"/>
    <n v="40000"/>
    <x v="0"/>
    <x v="0"/>
    <s v="UPI"/>
    <n v="40000"/>
  </r>
  <r>
    <x v="53"/>
    <s v="Prachi Shaikh"/>
    <x v="1"/>
    <x v="4"/>
    <d v="2025-11-25T00:00:00"/>
    <n v="38000"/>
    <n v="38000"/>
    <x v="0"/>
    <x v="0"/>
    <s v="Debit Card"/>
    <n v="38000"/>
  </r>
  <r>
    <x v="54"/>
    <s v="Riya Thorat"/>
    <x v="1"/>
    <x v="1"/>
    <d v="2025-12-05T00:00:00"/>
    <n v="30000"/>
    <n v="30000"/>
    <x v="0"/>
    <x v="0"/>
    <s v="UPI"/>
    <n v="30000"/>
  </r>
  <r>
    <x v="55"/>
    <s v="Snehal Birajdar"/>
    <x v="0"/>
    <x v="0"/>
    <d v="2025-12-10T00:00:00"/>
    <n v="40000"/>
    <n v="40000"/>
    <x v="0"/>
    <x v="0"/>
    <s v="UPI"/>
    <n v="40000"/>
  </r>
  <r>
    <x v="56"/>
    <s v="Akash Lokhande"/>
    <x v="0"/>
    <x v="1"/>
    <d v="2025-12-30T00:00:00"/>
    <n v="28000"/>
    <n v="8500"/>
    <x v="16"/>
    <x v="2"/>
    <s v="Credit Card"/>
    <n v="28000"/>
  </r>
  <r>
    <x v="57"/>
    <s v="Pallavi Thorat"/>
    <x v="2"/>
    <x v="0"/>
    <d v="2026-01-01T00:00:00"/>
    <n v="40000"/>
    <n v="8000"/>
    <x v="23"/>
    <x v="2"/>
    <s v="UPI"/>
    <n v="40000"/>
  </r>
  <r>
    <x v="58"/>
    <s v="Shruti Shinde"/>
    <x v="1"/>
    <x v="2"/>
    <d v="2026-01-01T00:00:00"/>
    <n v="20000"/>
    <n v="0"/>
    <x v="2"/>
    <x v="1"/>
    <s v="Debit Card"/>
    <n v="20000"/>
  </r>
  <r>
    <x v="59"/>
    <s v="Tushar Sawant"/>
    <x v="1"/>
    <x v="3"/>
    <d v="2026-01-05T00:00:00"/>
    <n v="45000"/>
    <n v="45000"/>
    <x v="0"/>
    <x v="0"/>
    <s v="Debit Card"/>
    <n v="45000"/>
  </r>
  <r>
    <x v="60"/>
    <s v="Payal Joshi"/>
    <x v="0"/>
    <x v="0"/>
    <d v="2026-01-24T00:00:00"/>
    <n v="40000"/>
    <n v="24000"/>
    <x v="7"/>
    <x v="2"/>
    <s v="Net Banking"/>
    <n v="40000"/>
  </r>
  <r>
    <x v="61"/>
    <s v="Tejaswini Dixit"/>
    <x v="3"/>
    <x v="0"/>
    <d v="2026-02-08T00:00:00"/>
    <n v="40000"/>
    <n v="0"/>
    <x v="13"/>
    <x v="1"/>
    <s v="UPI"/>
    <n v="40000"/>
  </r>
  <r>
    <x v="62"/>
    <s v="Sagar Gaikwad"/>
    <x v="0"/>
    <x v="0"/>
    <d v="2026-02-23T00:00:00"/>
    <n v="40000"/>
    <n v="40000"/>
    <x v="0"/>
    <x v="0"/>
    <s v="UPI"/>
    <n v="40000"/>
  </r>
  <r>
    <x v="63"/>
    <s v="Payal Waghmare"/>
    <x v="3"/>
    <x v="0"/>
    <d v="2026-02-27T00:00:00"/>
    <n v="37000"/>
    <n v="22000"/>
    <x v="24"/>
    <x v="2"/>
    <s v="Net Banking"/>
    <n v="37000"/>
  </r>
  <r>
    <x v="64"/>
    <s v="Rohan Naik"/>
    <x v="0"/>
    <x v="2"/>
    <d v="2026-03-03T00:00:00"/>
    <n v="25000"/>
    <n v="0"/>
    <x v="25"/>
    <x v="1"/>
    <s v="UPI"/>
    <n v="25000"/>
  </r>
  <r>
    <x v="65"/>
    <s v="Pratik More"/>
    <x v="3"/>
    <x v="4"/>
    <d v="2026-03-06T00:00:00"/>
    <n v="33000"/>
    <n v="16500"/>
    <x v="26"/>
    <x v="2"/>
    <s v="UPI"/>
    <n v="33000"/>
  </r>
  <r>
    <x v="66"/>
    <s v="Kunal Joshi"/>
    <x v="2"/>
    <x v="5"/>
    <d v="2026-03-07T00:00:00"/>
    <n v="28000"/>
    <n v="14000"/>
    <x v="12"/>
    <x v="2"/>
    <s v="UPI"/>
    <n v="28000"/>
  </r>
  <r>
    <x v="67"/>
    <s v="Pratik Phadtare"/>
    <x v="1"/>
    <x v="4"/>
    <d v="2026-03-18T00:00:00"/>
    <n v="38000"/>
    <n v="19000"/>
    <x v="27"/>
    <x v="2"/>
    <s v="Cash"/>
    <n v="38000"/>
  </r>
  <r>
    <x v="68"/>
    <s v="Suraj Patil"/>
    <x v="3"/>
    <x v="3"/>
    <d v="2026-03-28T00:00:00"/>
    <n v="45000"/>
    <n v="0"/>
    <x v="1"/>
    <x v="1"/>
    <s v="Debit Card"/>
    <n v="45000"/>
  </r>
  <r>
    <x v="69"/>
    <s v="Tejaswini Mane"/>
    <x v="4"/>
    <x v="0"/>
    <d v="2026-04-06T00:00:00"/>
    <n v="40000"/>
    <n v="0"/>
    <x v="13"/>
    <x v="1"/>
    <s v="Net Banking"/>
    <n v="40000"/>
  </r>
  <r>
    <x v="70"/>
    <s v="Amit Salunkhe"/>
    <x v="1"/>
    <x v="3"/>
    <d v="2026-04-16T00:00:00"/>
    <n v="45000"/>
    <n v="0"/>
    <x v="1"/>
    <x v="1"/>
    <s v="UPI"/>
    <n v="45000"/>
  </r>
  <r>
    <x v="71"/>
    <s v="Swati Sharma"/>
    <x v="0"/>
    <x v="1"/>
    <d v="2026-04-17T00:00:00"/>
    <n v="28000"/>
    <n v="21000"/>
    <x v="4"/>
    <x v="2"/>
    <s v="Cash"/>
    <n v="28000"/>
  </r>
  <r>
    <x v="72"/>
    <s v="Kunal Kamble"/>
    <x v="4"/>
    <x v="4"/>
    <d v="2026-04-24T00:00:00"/>
    <n v="38000"/>
    <n v="38000"/>
    <x v="0"/>
    <x v="0"/>
    <s v="Cash"/>
    <n v="38000"/>
  </r>
  <r>
    <x v="73"/>
    <s v="Rasika Ingale"/>
    <x v="1"/>
    <x v="4"/>
    <d v="2026-04-26T00:00:00"/>
    <n v="38000"/>
    <n v="38000"/>
    <x v="0"/>
    <x v="0"/>
    <s v="UPI"/>
    <n v="38000"/>
  </r>
  <r>
    <x v="74"/>
    <s v="Sayali Ingale"/>
    <x v="0"/>
    <x v="5"/>
    <d v="2026-04-29T00:00:00"/>
    <n v="28000"/>
    <n v="14000"/>
    <x v="12"/>
    <x v="2"/>
    <s v="Net Banking"/>
    <n v="28000"/>
  </r>
  <r>
    <x v="75"/>
    <s v="Kavita Dixit"/>
    <x v="2"/>
    <x v="0"/>
    <d v="2026-05-14T00:00:00"/>
    <n v="38000"/>
    <n v="0"/>
    <x v="11"/>
    <x v="1"/>
    <s v="Cash"/>
    <n v="38000"/>
  </r>
  <r>
    <x v="76"/>
    <s v="Vaishnavi Mulla"/>
    <x v="4"/>
    <x v="0"/>
    <d v="2026-05-30T00:00:00"/>
    <n v="40000"/>
    <n v="40000"/>
    <x v="0"/>
    <x v="0"/>
    <s v="Cash"/>
    <n v="40000"/>
  </r>
  <r>
    <x v="77"/>
    <s v="Swati Kale"/>
    <x v="4"/>
    <x v="1"/>
    <d v="2026-06-03T00:00:00"/>
    <n v="30000"/>
    <n v="30000"/>
    <x v="0"/>
    <x v="0"/>
    <s v="UPI"/>
    <n v="30000"/>
  </r>
  <r>
    <x v="78"/>
    <s v="Divya Ingale"/>
    <x v="0"/>
    <x v="0"/>
    <d v="2026-06-08T00:00:00"/>
    <n v="40000"/>
    <n v="0"/>
    <x v="13"/>
    <x v="1"/>
    <s v="Credit Card"/>
    <n v="40000"/>
  </r>
  <r>
    <x v="79"/>
    <s v="Kavita Thorat"/>
    <x v="0"/>
    <x v="0"/>
    <d v="2026-06-21T00:00:00"/>
    <n v="37000"/>
    <n v="15000"/>
    <x v="28"/>
    <x v="2"/>
    <s v="UPI"/>
    <n v="37000"/>
  </r>
  <r>
    <x v="80"/>
    <s v="Divya Dixit"/>
    <x v="0"/>
    <x v="3"/>
    <d v="2026-06-27T00:00:00"/>
    <n v="45000"/>
    <n v="45000"/>
    <x v="0"/>
    <x v="0"/>
    <s v="Cash"/>
    <n v="45000"/>
  </r>
  <r>
    <x v="81"/>
    <s v="Apurva Lokhande"/>
    <x v="3"/>
    <x v="1"/>
    <d v="2026-06-29T00:00:00"/>
    <n v="30000"/>
    <n v="30000"/>
    <x v="0"/>
    <x v="0"/>
    <s v="Cash"/>
    <n v="30000"/>
  </r>
  <r>
    <x v="82"/>
    <s v="Shruti Shaikh"/>
    <x v="3"/>
    <x v="3"/>
    <d v="2026-07-11T00:00:00"/>
    <n v="45000"/>
    <n v="13500"/>
    <x v="5"/>
    <x v="2"/>
    <s v="UPI"/>
    <n v="45000"/>
  </r>
  <r>
    <x v="83"/>
    <s v="Manasi Chavan"/>
    <x v="3"/>
    <x v="3"/>
    <d v="2026-07-18T00:00:00"/>
    <n v="45000"/>
    <n v="45000"/>
    <x v="0"/>
    <x v="0"/>
    <s v="UPI"/>
    <n v="45000"/>
  </r>
  <r>
    <x v="84"/>
    <s v="Kavita Chavan"/>
    <x v="1"/>
    <x v="4"/>
    <d v="2026-07-29T00:00:00"/>
    <n v="38000"/>
    <n v="23000"/>
    <x v="24"/>
    <x v="2"/>
    <s v="UPI"/>
    <n v="38000"/>
  </r>
  <r>
    <x v="85"/>
    <s v="Apurva Sawant"/>
    <x v="4"/>
    <x v="4"/>
    <d v="2026-07-29T00:00:00"/>
    <n v="38000"/>
    <n v="38000"/>
    <x v="0"/>
    <x v="0"/>
    <s v="UPI"/>
    <n v="38000"/>
  </r>
  <r>
    <x v="86"/>
    <s v="Shubham Kamble"/>
    <x v="3"/>
    <x v="5"/>
    <d v="2026-08-03T00:00:00"/>
    <n v="28000"/>
    <n v="21000"/>
    <x v="4"/>
    <x v="2"/>
    <s v="UPI"/>
    <n v="28000"/>
  </r>
  <r>
    <x v="87"/>
    <s v="Sahil Gupta"/>
    <x v="1"/>
    <x v="4"/>
    <d v="2026-08-04T00:00:00"/>
    <n v="38000"/>
    <n v="38000"/>
    <x v="0"/>
    <x v="0"/>
    <s v="UPI"/>
    <n v="38000"/>
  </r>
  <r>
    <x v="88"/>
    <s v="Aditya Shinde"/>
    <x v="1"/>
    <x v="3"/>
    <d v="2026-08-05T00:00:00"/>
    <n v="43000"/>
    <n v="43000"/>
    <x v="0"/>
    <x v="0"/>
    <s v="Cash"/>
    <n v="43000"/>
  </r>
  <r>
    <x v="89"/>
    <s v="Madhuri Sawant"/>
    <x v="0"/>
    <x v="0"/>
    <d v="2026-08-10T00:00:00"/>
    <n v="38000"/>
    <n v="0"/>
    <x v="11"/>
    <x v="1"/>
    <s v="UPI"/>
    <n v="38000"/>
  </r>
  <r>
    <x v="90"/>
    <s v="Sagar Chavan"/>
    <x v="1"/>
    <x v="0"/>
    <d v="2026-08-12T00:00:00"/>
    <n v="38000"/>
    <n v="38000"/>
    <x v="0"/>
    <x v="0"/>
    <s v="Net Banking"/>
    <n v="38000"/>
  </r>
  <r>
    <x v="91"/>
    <s v="Ankita Mulla"/>
    <x v="3"/>
    <x v="2"/>
    <d v="2026-08-15T00:00:00"/>
    <n v="25000"/>
    <n v="0"/>
    <x v="25"/>
    <x v="1"/>
    <s v="Cash"/>
    <n v="25000"/>
  </r>
  <r>
    <x v="92"/>
    <s v="Sahil Desai"/>
    <x v="3"/>
    <x v="4"/>
    <d v="2026-08-19T00:00:00"/>
    <n v="33000"/>
    <n v="33000"/>
    <x v="0"/>
    <x v="0"/>
    <s v="UPI"/>
    <n v="33000"/>
  </r>
  <r>
    <x v="93"/>
    <s v="Aarav Lokhande"/>
    <x v="3"/>
    <x v="3"/>
    <d v="2026-08-31T00:00:00"/>
    <n v="43000"/>
    <n v="43000"/>
    <x v="0"/>
    <x v="0"/>
    <s v="Cash"/>
    <n v="43000"/>
  </r>
  <r>
    <x v="94"/>
    <s v="Harsh Ingale"/>
    <x v="2"/>
    <x v="2"/>
    <d v="2026-09-06T00:00:00"/>
    <n v="25000"/>
    <n v="12500"/>
    <x v="29"/>
    <x v="2"/>
    <s v="UPI"/>
    <n v="25000"/>
  </r>
  <r>
    <x v="95"/>
    <s v="Sagar Joshi"/>
    <x v="1"/>
    <x v="3"/>
    <d v="2026-09-19T00:00:00"/>
    <n v="45000"/>
    <n v="0"/>
    <x v="1"/>
    <x v="1"/>
    <s v="Credit Card"/>
    <n v="45000"/>
  </r>
  <r>
    <x v="96"/>
    <s v="Komal Sawant"/>
    <x v="0"/>
    <x v="4"/>
    <d v="2026-09-20T00:00:00"/>
    <n v="36000"/>
    <n v="0"/>
    <x v="20"/>
    <x v="1"/>
    <s v="Net Banking"/>
    <n v="36000"/>
  </r>
  <r>
    <x v="97"/>
    <s v="Sneha Jadhav"/>
    <x v="1"/>
    <x v="1"/>
    <d v="2026-09-27T00:00:00"/>
    <n v="30000"/>
    <n v="30000"/>
    <x v="0"/>
    <x v="0"/>
    <s v="Debit Card"/>
    <n v="30000"/>
  </r>
  <r>
    <x v="98"/>
    <s v="Manasi Dixit"/>
    <x v="1"/>
    <x v="0"/>
    <d v="2026-10-03T00:00:00"/>
    <n v="40000"/>
    <n v="16000"/>
    <x v="19"/>
    <x v="2"/>
    <s v="Net Banking"/>
    <n v="40000"/>
  </r>
  <r>
    <x v="99"/>
    <s v="Nisha Sawant"/>
    <x v="4"/>
    <x v="1"/>
    <d v="2026-10-08T00:00:00"/>
    <n v="30000"/>
    <n v="30000"/>
    <x v="0"/>
    <x v="0"/>
    <s v="Cash"/>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93799-020F-46D3-AF5A-57AA26D23A9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ourse">
  <location ref="A43:B50" firstHeaderRow="1" firstDataRow="1" firstDataCol="1"/>
  <pivotFields count="11">
    <pivotField showAll="0"/>
    <pivotField showAll="0"/>
    <pivotField showAll="0">
      <items count="6">
        <item x="4"/>
        <item x="0"/>
        <item x="2"/>
        <item x="1"/>
        <item x="3"/>
        <item t="default"/>
      </items>
    </pivotField>
    <pivotField axis="axisRow" showAll="0">
      <items count="7">
        <item x="3"/>
        <item x="1"/>
        <item x="4"/>
        <item x="2"/>
        <item x="5"/>
        <item x="0"/>
        <item t="default"/>
      </items>
    </pivotField>
    <pivotField numFmtId="165" showAll="0"/>
    <pivotField numFmtId="166" showAll="0"/>
    <pivotField numFmtId="166" showAll="0"/>
    <pivotField dataField="1" numFmtId="166" showAll="0"/>
    <pivotField showAll="0">
      <items count="4">
        <item x="0"/>
        <item x="2"/>
        <item x="1"/>
        <item t="default"/>
      </items>
    </pivotField>
    <pivotField showAll="0"/>
    <pivotField showAll="0"/>
  </pivotFields>
  <rowFields count="1">
    <field x="3"/>
  </rowFields>
  <rowItems count="7">
    <i>
      <x/>
    </i>
    <i>
      <x v="1"/>
    </i>
    <i>
      <x v="2"/>
    </i>
    <i>
      <x v="3"/>
    </i>
    <i>
      <x v="4"/>
    </i>
    <i>
      <x v="5"/>
    </i>
    <i t="grand">
      <x/>
    </i>
  </rowItems>
  <colItems count="1">
    <i/>
  </colItems>
  <dataFields count="1">
    <dataField name="Sum of Remaining Fees" fld="7" baseField="0" baseItem="0" numFmtId="166"/>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944FCE-4B8C-46AB-AFE8-F9C8B39DC89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Branch ">
  <location ref="K24:M30" firstHeaderRow="0" firstDataRow="1" firstDataCol="1"/>
  <pivotFields count="11">
    <pivotField showAll="0"/>
    <pivotField showAll="0"/>
    <pivotField axis="axisRow" showAll="0">
      <items count="6">
        <item x="4"/>
        <item x="0"/>
        <item x="2"/>
        <item x="1"/>
        <item x="3"/>
        <item t="default"/>
      </items>
    </pivotField>
    <pivotField showAll="0">
      <items count="7">
        <item x="3"/>
        <item x="1"/>
        <item x="4"/>
        <item x="2"/>
        <item x="5"/>
        <item x="0"/>
        <item t="default"/>
      </items>
    </pivotField>
    <pivotField numFmtId="165" showAll="0"/>
    <pivotField numFmtId="166" showAll="0"/>
    <pivotField dataField="1" numFmtId="166" showAll="0"/>
    <pivotField dataField="1" numFmtId="166" showAll="0">
      <items count="31">
        <item x="0"/>
        <item x="14"/>
        <item x="4"/>
        <item x="3"/>
        <item x="6"/>
        <item x="8"/>
        <item x="21"/>
        <item x="29"/>
        <item x="15"/>
        <item x="12"/>
        <item x="24"/>
        <item x="7"/>
        <item x="26"/>
        <item x="22"/>
        <item x="27"/>
        <item x="16"/>
        <item x="2"/>
        <item x="17"/>
        <item x="28"/>
        <item x="10"/>
        <item x="18"/>
        <item x="19"/>
        <item x="25"/>
        <item x="5"/>
        <item x="23"/>
        <item x="20"/>
        <item x="9"/>
        <item x="11"/>
        <item x="13"/>
        <item x="1"/>
        <item t="default"/>
      </items>
    </pivotField>
    <pivotField showAll="0">
      <items count="4">
        <item x="0"/>
        <item x="2"/>
        <item x="1"/>
        <item t="default"/>
      </items>
    </pivotField>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Paid fees Sum" fld="6" baseField="2" baseItem="0" numFmtId="166"/>
    <dataField name="Remaining Fees Sum" fld="7" baseField="2" baseItem="0" numFmtId="166"/>
  </dataField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8C3F8-1E87-45A3-9811-FDD95E33104C}" name="PivotTable3"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Course">
  <location ref="K3:L5" firstHeaderRow="1" firstDataRow="1" firstDataCol="1"/>
  <pivotFields count="11">
    <pivotField showAll="0"/>
    <pivotField showAll="0"/>
    <pivotField showAll="0">
      <items count="6">
        <item x="4"/>
        <item x="0"/>
        <item x="2"/>
        <item x="1"/>
        <item x="3"/>
        <item t="default"/>
      </items>
    </pivotField>
    <pivotField showAll="0">
      <items count="7">
        <item x="3"/>
        <item x="1"/>
        <item x="4"/>
        <item x="2"/>
        <item x="5"/>
        <item x="0"/>
        <item t="default"/>
      </items>
    </pivotField>
    <pivotField numFmtId="165" showAll="0"/>
    <pivotField numFmtId="166" showAll="0"/>
    <pivotField dataField="1" numFmtId="166" showAll="0"/>
    <pivotField dataField="1" numFmtId="166" showAll="0"/>
    <pivotField showAll="0">
      <items count="4">
        <item x="0"/>
        <item x="2"/>
        <item x="1"/>
        <item t="default"/>
      </items>
    </pivotField>
    <pivotField showAll="0"/>
    <pivotField showAll="0"/>
  </pivotFields>
  <rowFields count="1">
    <field x="-2"/>
  </rowFields>
  <rowItems count="2">
    <i>
      <x/>
    </i>
    <i i="1">
      <x v="1"/>
    </i>
  </rowItems>
  <colItems count="1">
    <i/>
  </colItems>
  <dataFields count="2">
    <dataField name="Sum of Paid Fees" fld="6" baseField="0" baseItem="0" numFmtId="166"/>
    <dataField name="Sum of Remaining Fees" fld="7" baseField="0" baseItem="0" numFmtId="166"/>
  </dataFields>
  <chartFormats count="6">
    <chartFormat chart="35" format="1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1"/>
          </reference>
        </references>
      </pivotArea>
    </chartFormat>
    <chartFormat chart="35" format="14">
      <pivotArea type="data" outline="0" fieldPosition="0">
        <references count="1">
          <reference field="4294967294" count="1" selected="0">
            <x v="0"/>
          </reference>
        </references>
      </pivotArea>
    </chartFormat>
    <chartFormat chart="35" format="15">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90CFEE-8222-4FFA-95EF-17CBBFDF0EA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Branch">
  <location ref="A24:B30" firstHeaderRow="1" firstDataRow="1" firstDataCol="1"/>
  <pivotFields count="1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1"/>
        <item x="3"/>
        <item t="default"/>
      </items>
    </pivotField>
    <pivotField showAll="0">
      <items count="7">
        <item x="3"/>
        <item x="1"/>
        <item x="4"/>
        <item x="2"/>
        <item x="5"/>
        <item x="0"/>
        <item t="default"/>
      </items>
    </pivotField>
    <pivotField numFmtId="165" showAll="0"/>
    <pivotField numFmtId="166" showAll="0"/>
    <pivotField numFmtId="166" showAll="0"/>
    <pivotField numFmtId="166" showAll="0"/>
    <pivotField showAll="0">
      <items count="4">
        <item x="0"/>
        <item x="2"/>
        <item x="1"/>
        <item t="default"/>
      </items>
    </pivotField>
    <pivotField showAll="0"/>
    <pivotField showAll="0"/>
  </pivotFields>
  <rowFields count="1">
    <field x="2"/>
  </rowFields>
  <rowItems count="6">
    <i>
      <x/>
    </i>
    <i>
      <x v="1"/>
    </i>
    <i>
      <x v="2"/>
    </i>
    <i>
      <x v="3"/>
    </i>
    <i>
      <x v="4"/>
    </i>
    <i t="grand">
      <x/>
    </i>
  </rowItems>
  <colItems count="1">
    <i/>
  </colItems>
  <dataFields count="1">
    <dataField name="StudentCount" fld="0" subtotal="count" baseField="2"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06E343-4328-4F83-845B-47E6DDD6376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rse">
  <location ref="A3:B10" firstHeaderRow="1" firstDataRow="1" firstDataCol="1"/>
  <pivotFields count="11">
    <pivotField showAll="0"/>
    <pivotField showAll="0"/>
    <pivotField showAll="0">
      <items count="6">
        <item x="4"/>
        <item x="0"/>
        <item x="2"/>
        <item x="1"/>
        <item x="3"/>
        <item t="default"/>
      </items>
    </pivotField>
    <pivotField axis="axisRow" showAll="0">
      <items count="7">
        <item x="3"/>
        <item x="1"/>
        <item x="4"/>
        <item x="2"/>
        <item x="5"/>
        <item x="0"/>
        <item t="default"/>
      </items>
    </pivotField>
    <pivotField numFmtId="165" showAll="0"/>
    <pivotField numFmtId="166" showAll="0"/>
    <pivotField dataField="1" numFmtId="166" showAll="0"/>
    <pivotField numFmtId="166" showAll="0"/>
    <pivotField showAll="0">
      <items count="4">
        <item x="0"/>
        <item x="2"/>
        <item x="1"/>
        <item t="default"/>
      </items>
    </pivotField>
    <pivotField showAll="0"/>
    <pivotField showAll="0"/>
  </pivotFields>
  <rowFields count="1">
    <field x="3"/>
  </rowFields>
  <rowItems count="7">
    <i>
      <x/>
    </i>
    <i>
      <x v="1"/>
    </i>
    <i>
      <x v="2"/>
    </i>
    <i>
      <x v="3"/>
    </i>
    <i>
      <x v="4"/>
    </i>
    <i>
      <x v="5"/>
    </i>
    <i t="grand">
      <x/>
    </i>
  </rowItems>
  <colItems count="1">
    <i/>
  </colItems>
  <dataFields count="1">
    <dataField name="Fees Collection" fld="6" baseField="3" baseItem="0" numFmtId="166"/>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754A805-44CF-44D1-A458-BC26D3ADFD82}" sourceName="Branch">
  <pivotTables>
    <pivotTable tabId="6" name="PivotTable4"/>
    <pivotTable tabId="6" name="PivotTable1"/>
    <pivotTable tabId="6" name="PivotTable2"/>
    <pivotTable tabId="6" name="PivotTable3"/>
    <pivotTable tabId="6" name="PivotTable5"/>
  </pivotTables>
  <data>
    <tabular pivotCacheId="900176056">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E2B8D9EF-572A-4844-BB6B-728435A2E2A9}" sourceName="Course">
  <pivotTables>
    <pivotTable tabId="6" name="PivotTable4"/>
    <pivotTable tabId="6" name="PivotTable1"/>
    <pivotTable tabId="6" name="PivotTable2"/>
    <pivotTable tabId="6" name="PivotTable3"/>
    <pivotTable tabId="6" name="PivotTable5"/>
  </pivotTables>
  <data>
    <tabular pivotCacheId="900176056">
      <items count="6">
        <i x="3" s="1"/>
        <i x="1" s="1"/>
        <i x="4" s="1"/>
        <i x="2"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_Status" xr10:uid="{EBFF9D30-EF33-4548-9637-D95CC9EA8B98}" sourceName="Fee Status">
  <pivotTables>
    <pivotTable tabId="6" name="PivotTable4"/>
    <pivotTable tabId="6" name="PivotTable1"/>
    <pivotTable tabId="6" name="PivotTable2"/>
    <pivotTable tabId="6" name="PivotTable3"/>
    <pivotTable tabId="6" name="PivotTable5"/>
  </pivotTables>
  <data>
    <tabular pivotCacheId="9001760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0A5D25A-76C7-4EA6-B562-86840F261241}" cache="Slicer_Branch" caption="Branch" style="SlicerStyleOther1" rowHeight="234950"/>
  <slicer name="Course" xr10:uid="{53CCBEB6-33AE-471B-A7CF-AE93C24D2BDB}" cache="Slicer_Course" caption="Course" style="SlicerStyleLight2" rowHeight="234950"/>
  <slicer name="Fee Status" xr10:uid="{7C1308C9-3B89-4FA6-8B72-B40FA8F07B21}" cache="Slicer_Fee_Status" caption="Fee Status"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entFees" displayName="StudentFees" ref="A1:K101">
  <autoFilter ref="A1:K101" xr:uid="{00000000-0009-0000-0100-000001000000}"/>
  <tableColumns count="11">
    <tableColumn id="1" xr3:uid="{00000000-0010-0000-0000-000001000000}" name="Reg Number"/>
    <tableColumn id="2" xr3:uid="{00000000-0010-0000-0000-000002000000}" name="Student Name"/>
    <tableColumn id="3" xr3:uid="{00000000-0010-0000-0000-000003000000}" name="Branch"/>
    <tableColumn id="4" xr3:uid="{00000000-0010-0000-0000-000004000000}" name="Course"/>
    <tableColumn id="5" xr3:uid="{00000000-0010-0000-0000-000005000000}" name="Admission Date"/>
    <tableColumn id="6" xr3:uid="{00000000-0010-0000-0000-000006000000}" name="Total Fee"/>
    <tableColumn id="7" xr3:uid="{00000000-0010-0000-0000-000007000000}" name="Paid Fees"/>
    <tableColumn id="8" xr3:uid="{00000000-0010-0000-0000-000008000000}" name="Remaining Fees"/>
    <tableColumn id="9" xr3:uid="{00000000-0010-0000-0000-000009000000}" name="Fee Status"/>
    <tableColumn id="10" xr3:uid="{00000000-0010-0000-0000-00000A000000}" name="Payment Mode"/>
    <tableColumn id="11" xr3:uid="{411593B9-AAE9-4A24-9C94-CBD6C48CCF66}" name="Column1" dataDxfId="0">
      <calculatedColumnFormula>SUM(StudentFees[[#This Row],[Paid Fees]],StudentFees[[#This Row],[Remaining Fees]])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A9BD-358B-49A3-A156-D5C2B3E42AFD}">
  <dimension ref="A2:M50"/>
  <sheetViews>
    <sheetView zoomScale="111" workbookViewId="0">
      <selection activeCell="O27" sqref="O27"/>
    </sheetView>
  </sheetViews>
  <sheetFormatPr defaultRowHeight="14.4" x14ac:dyDescent="0.3"/>
  <cols>
    <col min="1" max="1" width="18.6640625" bestFit="1" customWidth="1"/>
    <col min="2" max="2" width="20.6640625" bestFit="1" customWidth="1"/>
    <col min="3" max="3" width="19.44140625" bestFit="1" customWidth="1"/>
    <col min="11" max="11" width="20.44140625" bestFit="1" customWidth="1"/>
    <col min="12" max="12" width="9.88671875" bestFit="1" customWidth="1"/>
    <col min="13" max="13" width="18.44140625" bestFit="1" customWidth="1"/>
  </cols>
  <sheetData>
    <row r="2" spans="1:12" x14ac:dyDescent="0.3">
      <c r="A2" s="15" t="s">
        <v>234</v>
      </c>
      <c r="B2" s="15"/>
      <c r="K2" s="15" t="s">
        <v>238</v>
      </c>
      <c r="L2" s="15"/>
    </row>
    <row r="3" spans="1:12" x14ac:dyDescent="0.3">
      <c r="A3" s="13" t="s">
        <v>3</v>
      </c>
      <c r="B3" t="s">
        <v>235</v>
      </c>
      <c r="K3" s="13" t="s">
        <v>245</v>
      </c>
    </row>
    <row r="4" spans="1:12" x14ac:dyDescent="0.3">
      <c r="A4" s="14" t="s">
        <v>27</v>
      </c>
      <c r="B4" s="7">
        <v>523000</v>
      </c>
      <c r="K4" s="14" t="s">
        <v>233</v>
      </c>
      <c r="L4" s="7">
        <v>2255000</v>
      </c>
    </row>
    <row r="5" spans="1:12" x14ac:dyDescent="0.3">
      <c r="A5" s="14" t="s">
        <v>18</v>
      </c>
      <c r="B5" s="7">
        <v>373000</v>
      </c>
      <c r="K5" s="14" t="s">
        <v>239</v>
      </c>
      <c r="L5" s="7">
        <v>1313000</v>
      </c>
    </row>
    <row r="6" spans="1:12" x14ac:dyDescent="0.3">
      <c r="A6" s="14" t="s">
        <v>39</v>
      </c>
      <c r="B6" s="7">
        <v>399500</v>
      </c>
    </row>
    <row r="7" spans="1:12" x14ac:dyDescent="0.3">
      <c r="A7" s="14" t="s">
        <v>23</v>
      </c>
      <c r="B7" s="7">
        <v>79500</v>
      </c>
    </row>
    <row r="8" spans="1:12" x14ac:dyDescent="0.3">
      <c r="A8" s="14" t="s">
        <v>42</v>
      </c>
      <c r="B8" s="7">
        <v>259000</v>
      </c>
    </row>
    <row r="9" spans="1:12" x14ac:dyDescent="0.3">
      <c r="A9" s="14" t="s">
        <v>13</v>
      </c>
      <c r="B9" s="7">
        <v>621000</v>
      </c>
    </row>
    <row r="10" spans="1:12" x14ac:dyDescent="0.3">
      <c r="A10" s="14" t="s">
        <v>232</v>
      </c>
      <c r="B10" s="7">
        <v>2255000</v>
      </c>
    </row>
    <row r="23" spans="1:13" ht="17.399999999999999" x14ac:dyDescent="0.45">
      <c r="A23" s="16" t="s">
        <v>237</v>
      </c>
      <c r="B23" s="9"/>
      <c r="K23" s="15" t="s">
        <v>240</v>
      </c>
      <c r="L23" s="15"/>
      <c r="M23" s="15"/>
    </row>
    <row r="24" spans="1:13" x14ac:dyDescent="0.3">
      <c r="A24" s="13" t="s">
        <v>2</v>
      </c>
      <c r="B24" t="s">
        <v>236</v>
      </c>
      <c r="K24" s="13" t="s">
        <v>241</v>
      </c>
      <c r="L24" t="s">
        <v>242</v>
      </c>
      <c r="M24" t="s">
        <v>243</v>
      </c>
    </row>
    <row r="25" spans="1:13" x14ac:dyDescent="0.3">
      <c r="A25" s="14" t="s">
        <v>47</v>
      </c>
      <c r="B25" s="8">
        <v>13</v>
      </c>
      <c r="K25" s="14" t="s">
        <v>47</v>
      </c>
      <c r="L25" s="7">
        <v>326500</v>
      </c>
      <c r="M25" s="7">
        <v>128500</v>
      </c>
    </row>
    <row r="26" spans="1:13" x14ac:dyDescent="0.3">
      <c r="A26" s="14" t="s">
        <v>12</v>
      </c>
      <c r="B26" s="8">
        <v>23</v>
      </c>
      <c r="K26" s="14" t="s">
        <v>12</v>
      </c>
      <c r="L26" s="7">
        <v>467000</v>
      </c>
      <c r="M26" s="7">
        <v>338000</v>
      </c>
    </row>
    <row r="27" spans="1:13" x14ac:dyDescent="0.3">
      <c r="A27" s="14" t="s">
        <v>22</v>
      </c>
      <c r="B27" s="8">
        <v>13</v>
      </c>
      <c r="K27" s="14" t="s">
        <v>22</v>
      </c>
      <c r="L27" s="7">
        <v>266500</v>
      </c>
      <c r="M27" s="7">
        <v>176500</v>
      </c>
    </row>
    <row r="28" spans="1:13" x14ac:dyDescent="0.3">
      <c r="A28" s="14" t="s">
        <v>17</v>
      </c>
      <c r="B28" s="8">
        <v>29</v>
      </c>
      <c r="K28" s="14" t="s">
        <v>17</v>
      </c>
      <c r="L28" s="7">
        <v>757000</v>
      </c>
      <c r="M28" s="7">
        <v>279000</v>
      </c>
    </row>
    <row r="29" spans="1:13" x14ac:dyDescent="0.3">
      <c r="A29" s="14" t="s">
        <v>36</v>
      </c>
      <c r="B29" s="8">
        <v>22</v>
      </c>
      <c r="K29" s="14" t="s">
        <v>36</v>
      </c>
      <c r="L29" s="7">
        <v>438000</v>
      </c>
      <c r="M29" s="7">
        <v>391000</v>
      </c>
    </row>
    <row r="30" spans="1:13" x14ac:dyDescent="0.3">
      <c r="A30" s="14" t="s">
        <v>232</v>
      </c>
      <c r="B30" s="8">
        <v>100</v>
      </c>
      <c r="K30" s="14" t="s">
        <v>232</v>
      </c>
      <c r="L30" s="7">
        <v>2255000</v>
      </c>
      <c r="M30" s="7">
        <v>1313000</v>
      </c>
    </row>
    <row r="42" spans="1:2" x14ac:dyDescent="0.3">
      <c r="A42" s="15" t="s">
        <v>244</v>
      </c>
      <c r="B42" s="15"/>
    </row>
    <row r="43" spans="1:2" x14ac:dyDescent="0.3">
      <c r="A43" s="13" t="s">
        <v>3</v>
      </c>
      <c r="B43" t="s">
        <v>239</v>
      </c>
    </row>
    <row r="44" spans="1:2" x14ac:dyDescent="0.3">
      <c r="A44" s="14" t="s">
        <v>27</v>
      </c>
      <c r="B44" s="7">
        <v>418000</v>
      </c>
    </row>
    <row r="45" spans="1:2" x14ac:dyDescent="0.3">
      <c r="A45" s="14" t="s">
        <v>18</v>
      </c>
      <c r="B45" s="7">
        <v>95000</v>
      </c>
    </row>
    <row r="46" spans="1:2" x14ac:dyDescent="0.3">
      <c r="A46" s="14" t="s">
        <v>39</v>
      </c>
      <c r="B46" s="7">
        <v>156500</v>
      </c>
    </row>
    <row r="47" spans="1:2" x14ac:dyDescent="0.3">
      <c r="A47" s="14" t="s">
        <v>23</v>
      </c>
      <c r="B47" s="7">
        <v>112500</v>
      </c>
    </row>
    <row r="48" spans="1:2" x14ac:dyDescent="0.3">
      <c r="A48" s="14" t="s">
        <v>42</v>
      </c>
      <c r="B48" s="7">
        <v>95000</v>
      </c>
    </row>
    <row r="49" spans="1:2" x14ac:dyDescent="0.3">
      <c r="A49" s="14" t="s">
        <v>13</v>
      </c>
      <c r="B49" s="7">
        <v>436000</v>
      </c>
    </row>
    <row r="50" spans="1:2" x14ac:dyDescent="0.3">
      <c r="A50" s="14" t="s">
        <v>232</v>
      </c>
      <c r="B50" s="7">
        <v>1313000</v>
      </c>
    </row>
  </sheetData>
  <mergeCells count="5">
    <mergeCell ref="A2:B2"/>
    <mergeCell ref="A23:B23"/>
    <mergeCell ref="K2:L2"/>
    <mergeCell ref="K23:M23"/>
    <mergeCell ref="A42:B42"/>
  </mergeCell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workbookViewId="0">
      <pane ySplit="1" topLeftCell="A2" activePane="bottomLeft" state="frozen"/>
      <selection pane="bottomLeft" activeCell="F8" sqref="F8"/>
    </sheetView>
  </sheetViews>
  <sheetFormatPr defaultRowHeight="14.4" x14ac:dyDescent="0.3"/>
  <cols>
    <col min="1" max="1" width="13" customWidth="1"/>
    <col min="2" max="2" width="24" customWidth="1"/>
    <col min="3" max="3" width="12" customWidth="1"/>
    <col min="4" max="4" width="22" customWidth="1"/>
    <col min="5" max="5" width="16" customWidth="1"/>
    <col min="6" max="7" width="14" customWidth="1"/>
    <col min="8" max="8" width="16" customWidth="1"/>
    <col min="9" max="9" width="12" customWidth="1"/>
    <col min="10" max="10" width="16" customWidth="1"/>
  </cols>
  <sheetData>
    <row r="1" spans="1:12" ht="30" customHeight="1" x14ac:dyDescent="0.3">
      <c r="A1" s="1" t="s">
        <v>0</v>
      </c>
      <c r="B1" s="1" t="s">
        <v>1</v>
      </c>
      <c r="C1" s="1" t="s">
        <v>2</v>
      </c>
      <c r="D1" s="1" t="s">
        <v>3</v>
      </c>
      <c r="E1" s="1" t="s">
        <v>4</v>
      </c>
      <c r="F1" s="1" t="s">
        <v>5</v>
      </c>
      <c r="G1" s="1" t="s">
        <v>6</v>
      </c>
      <c r="H1" s="1" t="s">
        <v>7</v>
      </c>
      <c r="I1" s="1" t="s">
        <v>8</v>
      </c>
      <c r="J1" s="1" t="s">
        <v>9</v>
      </c>
      <c r="K1" t="s">
        <v>229</v>
      </c>
    </row>
    <row r="2" spans="1:12" x14ac:dyDescent="0.3">
      <c r="A2" s="2" t="s">
        <v>10</v>
      </c>
      <c r="B2" s="3" t="s">
        <v>11</v>
      </c>
      <c r="C2" s="3" t="s">
        <v>12</v>
      </c>
      <c r="D2" s="3" t="s">
        <v>13</v>
      </c>
      <c r="E2" s="4">
        <v>45668</v>
      </c>
      <c r="F2" s="5">
        <v>40000</v>
      </c>
      <c r="G2" s="5">
        <v>40000</v>
      </c>
      <c r="H2" s="5">
        <f t="shared" ref="H2:H33" si="0">F2-G2</f>
        <v>0</v>
      </c>
      <c r="I2" s="2" t="str">
        <f t="shared" ref="I2:I33" si="1">IF(H2=0,"Paid",IF(G2=0,"Unpaid","Partial"))</f>
        <v>Paid</v>
      </c>
      <c r="J2" s="3" t="s">
        <v>14</v>
      </c>
      <c r="K2">
        <f>SUM(StudentFees[[#This Row],[Paid Fees]],StudentFees[[#This Row],[Remaining Fees]])</f>
        <v>40000</v>
      </c>
    </row>
    <row r="3" spans="1:12" x14ac:dyDescent="0.3">
      <c r="A3" s="2" t="s">
        <v>15</v>
      </c>
      <c r="B3" s="3" t="s">
        <v>16</v>
      </c>
      <c r="C3" s="3" t="s">
        <v>17</v>
      </c>
      <c r="D3" s="3" t="s">
        <v>18</v>
      </c>
      <c r="E3" s="4">
        <v>45677</v>
      </c>
      <c r="F3" s="5">
        <v>28000</v>
      </c>
      <c r="G3" s="5">
        <v>28000</v>
      </c>
      <c r="H3" s="5">
        <f t="shared" si="0"/>
        <v>0</v>
      </c>
      <c r="I3" s="2" t="str">
        <f t="shared" si="1"/>
        <v>Paid</v>
      </c>
      <c r="J3" s="3" t="s">
        <v>19</v>
      </c>
      <c r="K3">
        <f>SUM(StudentFees[[#This Row],[Paid Fees]],StudentFees[[#This Row],[Remaining Fees]])</f>
        <v>28000</v>
      </c>
    </row>
    <row r="4" spans="1:12" x14ac:dyDescent="0.3">
      <c r="A4" s="2" t="s">
        <v>20</v>
      </c>
      <c r="B4" s="3" t="s">
        <v>21</v>
      </c>
      <c r="C4" s="3" t="s">
        <v>22</v>
      </c>
      <c r="D4" s="3" t="s">
        <v>23</v>
      </c>
      <c r="E4" s="4">
        <v>45678</v>
      </c>
      <c r="F4" s="5">
        <v>25000</v>
      </c>
      <c r="G4" s="5">
        <v>25000</v>
      </c>
      <c r="H4" s="5">
        <f t="shared" si="0"/>
        <v>0</v>
      </c>
      <c r="I4" s="2" t="str">
        <f t="shared" si="1"/>
        <v>Paid</v>
      </c>
      <c r="J4" s="3" t="s">
        <v>24</v>
      </c>
      <c r="K4">
        <f>SUM(StudentFees[[#This Row],[Paid Fees]],StudentFees[[#This Row],[Remaining Fees]])</f>
        <v>25000</v>
      </c>
      <c r="L4">
        <f>COUNTA(A2:A101)</f>
        <v>100</v>
      </c>
    </row>
    <row r="5" spans="1:12" x14ac:dyDescent="0.3">
      <c r="A5" s="2" t="s">
        <v>25</v>
      </c>
      <c r="B5" s="3" t="s">
        <v>26</v>
      </c>
      <c r="C5" s="3" t="s">
        <v>12</v>
      </c>
      <c r="D5" s="3" t="s">
        <v>27</v>
      </c>
      <c r="E5" s="4">
        <v>45686</v>
      </c>
      <c r="F5" s="5">
        <v>45000</v>
      </c>
      <c r="G5" s="5">
        <v>0</v>
      </c>
      <c r="H5" s="5">
        <f t="shared" si="0"/>
        <v>45000</v>
      </c>
      <c r="I5" s="2" t="str">
        <f t="shared" si="1"/>
        <v>Unpaid</v>
      </c>
      <c r="J5" s="3" t="s">
        <v>28</v>
      </c>
      <c r="K5">
        <f>SUM(StudentFees[[#This Row],[Paid Fees]],StudentFees[[#This Row],[Remaining Fees]])</f>
        <v>45000</v>
      </c>
    </row>
    <row r="6" spans="1:12" x14ac:dyDescent="0.3">
      <c r="A6" s="2" t="s">
        <v>29</v>
      </c>
      <c r="B6" s="3" t="s">
        <v>30</v>
      </c>
      <c r="C6" s="3" t="s">
        <v>17</v>
      </c>
      <c r="D6" s="3" t="s">
        <v>23</v>
      </c>
      <c r="E6" s="4">
        <v>45690</v>
      </c>
      <c r="F6" s="5">
        <v>25000</v>
      </c>
      <c r="G6" s="5">
        <v>5000</v>
      </c>
      <c r="H6" s="5">
        <f t="shared" si="0"/>
        <v>20000</v>
      </c>
      <c r="I6" s="2" t="str">
        <f t="shared" si="1"/>
        <v>Partial</v>
      </c>
      <c r="J6" s="3" t="s">
        <v>14</v>
      </c>
      <c r="K6">
        <f>SUM(StudentFees[[#This Row],[Paid Fees]],StudentFees[[#This Row],[Remaining Fees]])</f>
        <v>25000</v>
      </c>
    </row>
    <row r="7" spans="1:12" x14ac:dyDescent="0.3">
      <c r="A7" s="2" t="s">
        <v>31</v>
      </c>
      <c r="B7" s="3" t="s">
        <v>32</v>
      </c>
      <c r="C7" s="3" t="s">
        <v>22</v>
      </c>
      <c r="D7" s="3" t="s">
        <v>18</v>
      </c>
      <c r="E7" s="4">
        <v>45701</v>
      </c>
      <c r="F7" s="5">
        <v>30000</v>
      </c>
      <c r="G7" s="5">
        <v>30000</v>
      </c>
      <c r="H7" s="5">
        <f t="shared" si="0"/>
        <v>0</v>
      </c>
      <c r="I7" s="2" t="str">
        <f t="shared" si="1"/>
        <v>Paid</v>
      </c>
      <c r="J7" s="3" t="s">
        <v>33</v>
      </c>
      <c r="K7">
        <f>SUM(StudentFees[[#This Row],[Paid Fees]],StudentFees[[#This Row],[Remaining Fees]])</f>
        <v>30000</v>
      </c>
    </row>
    <row r="8" spans="1:12" x14ac:dyDescent="0.3">
      <c r="A8" s="2" t="s">
        <v>34</v>
      </c>
      <c r="B8" s="3" t="s">
        <v>35</v>
      </c>
      <c r="C8" s="3" t="s">
        <v>36</v>
      </c>
      <c r="D8" s="3" t="s">
        <v>13</v>
      </c>
      <c r="E8" s="4">
        <v>45721</v>
      </c>
      <c r="F8" s="5">
        <v>40000</v>
      </c>
      <c r="G8" s="5">
        <v>40000</v>
      </c>
      <c r="H8" s="5">
        <f t="shared" si="0"/>
        <v>0</v>
      </c>
      <c r="I8" s="2" t="str">
        <f t="shared" si="1"/>
        <v>Paid</v>
      </c>
      <c r="J8" s="3" t="s">
        <v>24</v>
      </c>
      <c r="K8">
        <f>SUM(StudentFees[[#This Row],[Paid Fees]],StudentFees[[#This Row],[Remaining Fees]])</f>
        <v>40000</v>
      </c>
    </row>
    <row r="9" spans="1:12" x14ac:dyDescent="0.3">
      <c r="A9" s="2" t="s">
        <v>37</v>
      </c>
      <c r="B9" s="3" t="s">
        <v>38</v>
      </c>
      <c r="C9" s="3" t="s">
        <v>12</v>
      </c>
      <c r="D9" s="3" t="s">
        <v>39</v>
      </c>
      <c r="E9" s="4">
        <v>45724</v>
      </c>
      <c r="F9" s="5">
        <v>36000</v>
      </c>
      <c r="G9" s="5">
        <v>27000</v>
      </c>
      <c r="H9" s="5">
        <f t="shared" si="0"/>
        <v>9000</v>
      </c>
      <c r="I9" s="2" t="str">
        <f t="shared" si="1"/>
        <v>Partial</v>
      </c>
      <c r="J9" s="3" t="s">
        <v>33</v>
      </c>
      <c r="K9">
        <f>SUM(StudentFees[[#This Row],[Paid Fees]],StudentFees[[#This Row],[Remaining Fees]])</f>
        <v>36000</v>
      </c>
    </row>
    <row r="10" spans="1:12" x14ac:dyDescent="0.3">
      <c r="A10" s="2" t="s">
        <v>40</v>
      </c>
      <c r="B10" s="3" t="s">
        <v>41</v>
      </c>
      <c r="C10" s="3" t="s">
        <v>12</v>
      </c>
      <c r="D10" s="3" t="s">
        <v>42</v>
      </c>
      <c r="E10" s="4">
        <v>45727</v>
      </c>
      <c r="F10" s="5">
        <v>28000</v>
      </c>
      <c r="G10" s="5">
        <v>21000</v>
      </c>
      <c r="H10" s="5">
        <f t="shared" si="0"/>
        <v>7000</v>
      </c>
      <c r="I10" s="2" t="str">
        <f t="shared" si="1"/>
        <v>Partial</v>
      </c>
      <c r="J10" s="3" t="s">
        <v>24</v>
      </c>
      <c r="K10">
        <f>SUM(StudentFees[[#This Row],[Paid Fees]],StudentFees[[#This Row],[Remaining Fees]])</f>
        <v>28000</v>
      </c>
    </row>
    <row r="11" spans="1:12" x14ac:dyDescent="0.3">
      <c r="A11" s="2" t="s">
        <v>43</v>
      </c>
      <c r="B11" s="3" t="s">
        <v>44</v>
      </c>
      <c r="C11" s="3" t="s">
        <v>17</v>
      </c>
      <c r="D11" s="3" t="s">
        <v>42</v>
      </c>
      <c r="E11" s="4">
        <v>45728</v>
      </c>
      <c r="F11" s="5">
        <v>28000</v>
      </c>
      <c r="G11" s="5">
        <v>28000</v>
      </c>
      <c r="H11" s="5">
        <f t="shared" si="0"/>
        <v>0</v>
      </c>
      <c r="I11" s="2" t="str">
        <f t="shared" si="1"/>
        <v>Paid</v>
      </c>
      <c r="J11" s="3" t="s">
        <v>33</v>
      </c>
      <c r="K11">
        <f>SUM(StudentFees[[#This Row],[Paid Fees]],StudentFees[[#This Row],[Remaining Fees]])</f>
        <v>28000</v>
      </c>
    </row>
    <row r="12" spans="1:12" x14ac:dyDescent="0.3">
      <c r="A12" s="2" t="s">
        <v>45</v>
      </c>
      <c r="B12" s="3" t="s">
        <v>46</v>
      </c>
      <c r="C12" s="3" t="s">
        <v>47</v>
      </c>
      <c r="D12" s="3" t="s">
        <v>27</v>
      </c>
      <c r="E12" s="4">
        <v>45758</v>
      </c>
      <c r="F12" s="5">
        <v>45000</v>
      </c>
      <c r="G12" s="5">
        <v>45000</v>
      </c>
      <c r="H12" s="5">
        <f t="shared" si="0"/>
        <v>0</v>
      </c>
      <c r="I12" s="2" t="str">
        <f t="shared" si="1"/>
        <v>Paid</v>
      </c>
      <c r="J12" s="3" t="s">
        <v>33</v>
      </c>
      <c r="K12">
        <f>SUM(StudentFees[[#This Row],[Paid Fees]],StudentFees[[#This Row],[Remaining Fees]])</f>
        <v>45000</v>
      </c>
    </row>
    <row r="13" spans="1:12" x14ac:dyDescent="0.3">
      <c r="A13" s="2" t="s">
        <v>48</v>
      </c>
      <c r="B13" s="3" t="s">
        <v>49</v>
      </c>
      <c r="C13" s="3" t="s">
        <v>12</v>
      </c>
      <c r="D13" s="3" t="s">
        <v>13</v>
      </c>
      <c r="E13" s="4">
        <v>45759</v>
      </c>
      <c r="F13" s="5">
        <v>40000</v>
      </c>
      <c r="G13" s="5">
        <v>40000</v>
      </c>
      <c r="H13" s="5">
        <f t="shared" si="0"/>
        <v>0</v>
      </c>
      <c r="I13" s="2" t="str">
        <f t="shared" si="1"/>
        <v>Paid</v>
      </c>
      <c r="J13" s="3" t="s">
        <v>24</v>
      </c>
      <c r="K13">
        <f>SUM(StudentFees[[#This Row],[Paid Fees]],StudentFees[[#This Row],[Remaining Fees]])</f>
        <v>40000</v>
      </c>
    </row>
    <row r="14" spans="1:12" x14ac:dyDescent="0.3">
      <c r="A14" s="2" t="s">
        <v>50</v>
      </c>
      <c r="B14" s="3" t="s">
        <v>51</v>
      </c>
      <c r="C14" s="3" t="s">
        <v>47</v>
      </c>
      <c r="D14" s="3" t="s">
        <v>39</v>
      </c>
      <c r="E14" s="4">
        <v>45759</v>
      </c>
      <c r="F14" s="5">
        <v>38000</v>
      </c>
      <c r="G14" s="5">
        <v>38000</v>
      </c>
      <c r="H14" s="5">
        <f t="shared" si="0"/>
        <v>0</v>
      </c>
      <c r="I14" s="2" t="str">
        <f t="shared" si="1"/>
        <v>Paid</v>
      </c>
      <c r="J14" s="3" t="s">
        <v>33</v>
      </c>
      <c r="K14">
        <f>SUM(StudentFees[[#This Row],[Paid Fees]],StudentFees[[#This Row],[Remaining Fees]])</f>
        <v>38000</v>
      </c>
    </row>
    <row r="15" spans="1:12" x14ac:dyDescent="0.3">
      <c r="A15" s="2" t="s">
        <v>52</v>
      </c>
      <c r="B15" s="3" t="s">
        <v>53</v>
      </c>
      <c r="C15" s="3" t="s">
        <v>36</v>
      </c>
      <c r="D15" s="3" t="s">
        <v>27</v>
      </c>
      <c r="E15" s="4">
        <v>45761</v>
      </c>
      <c r="F15" s="5">
        <v>45000</v>
      </c>
      <c r="G15" s="5">
        <v>13500</v>
      </c>
      <c r="H15" s="5">
        <f t="shared" si="0"/>
        <v>31500</v>
      </c>
      <c r="I15" s="2" t="str">
        <f t="shared" si="1"/>
        <v>Partial</v>
      </c>
      <c r="J15" s="3" t="s">
        <v>33</v>
      </c>
      <c r="K15">
        <f>SUM(StudentFees[[#This Row],[Paid Fees]],StudentFees[[#This Row],[Remaining Fees]])</f>
        <v>45000</v>
      </c>
    </row>
    <row r="16" spans="1:12" x14ac:dyDescent="0.3">
      <c r="A16" s="2" t="s">
        <v>54</v>
      </c>
      <c r="B16" s="3" t="s">
        <v>55</v>
      </c>
      <c r="C16" s="3" t="s">
        <v>17</v>
      </c>
      <c r="D16" s="3" t="s">
        <v>18</v>
      </c>
      <c r="E16" s="4">
        <v>45761</v>
      </c>
      <c r="F16" s="5">
        <v>30000</v>
      </c>
      <c r="G16" s="5">
        <v>30000</v>
      </c>
      <c r="H16" s="5">
        <f t="shared" si="0"/>
        <v>0</v>
      </c>
      <c r="I16" s="2" t="str">
        <f t="shared" si="1"/>
        <v>Paid</v>
      </c>
      <c r="J16" s="3" t="s">
        <v>24</v>
      </c>
      <c r="K16">
        <f>SUM(StudentFees[[#This Row],[Paid Fees]],StudentFees[[#This Row],[Remaining Fees]])</f>
        <v>30000</v>
      </c>
    </row>
    <row r="17" spans="1:11" x14ac:dyDescent="0.3">
      <c r="A17" s="2" t="s">
        <v>56</v>
      </c>
      <c r="B17" s="3" t="s">
        <v>57</v>
      </c>
      <c r="C17" s="3" t="s">
        <v>22</v>
      </c>
      <c r="D17" s="3" t="s">
        <v>27</v>
      </c>
      <c r="E17" s="4">
        <v>45766</v>
      </c>
      <c r="F17" s="5">
        <v>45000</v>
      </c>
      <c r="G17" s="5">
        <v>45000</v>
      </c>
      <c r="H17" s="5">
        <f t="shared" si="0"/>
        <v>0</v>
      </c>
      <c r="I17" s="2" t="str">
        <f t="shared" si="1"/>
        <v>Paid</v>
      </c>
      <c r="J17" s="3" t="s">
        <v>14</v>
      </c>
      <c r="K17">
        <f>SUM(StudentFees[[#This Row],[Paid Fees]],StudentFees[[#This Row],[Remaining Fees]])</f>
        <v>45000</v>
      </c>
    </row>
    <row r="18" spans="1:11" x14ac:dyDescent="0.3">
      <c r="A18" s="2" t="s">
        <v>58</v>
      </c>
      <c r="B18" s="3" t="s">
        <v>59</v>
      </c>
      <c r="C18" s="3" t="s">
        <v>12</v>
      </c>
      <c r="D18" s="3" t="s">
        <v>42</v>
      </c>
      <c r="E18" s="4">
        <v>45771</v>
      </c>
      <c r="F18" s="5">
        <v>25000</v>
      </c>
      <c r="G18" s="5">
        <v>25000</v>
      </c>
      <c r="H18" s="5">
        <f t="shared" si="0"/>
        <v>0</v>
      </c>
      <c r="I18" s="2" t="str">
        <f t="shared" si="1"/>
        <v>Paid</v>
      </c>
      <c r="J18" s="3" t="s">
        <v>14</v>
      </c>
      <c r="K18">
        <f>SUM(StudentFees[[#This Row],[Paid Fees]],StudentFees[[#This Row],[Remaining Fees]])</f>
        <v>25000</v>
      </c>
    </row>
    <row r="19" spans="1:11" x14ac:dyDescent="0.3">
      <c r="A19" s="2" t="s">
        <v>60</v>
      </c>
      <c r="B19" s="3" t="s">
        <v>61</v>
      </c>
      <c r="C19" s="3" t="s">
        <v>47</v>
      </c>
      <c r="D19" s="3" t="s">
        <v>23</v>
      </c>
      <c r="E19" s="4">
        <v>45771</v>
      </c>
      <c r="F19" s="5">
        <v>25000</v>
      </c>
      <c r="G19" s="5">
        <v>15000</v>
      </c>
      <c r="H19" s="5">
        <f t="shared" si="0"/>
        <v>10000</v>
      </c>
      <c r="I19" s="2" t="str">
        <f t="shared" si="1"/>
        <v>Partial</v>
      </c>
      <c r="J19" s="3" t="s">
        <v>33</v>
      </c>
      <c r="K19">
        <f>SUM(StudentFees[[#This Row],[Paid Fees]],StudentFees[[#This Row],[Remaining Fees]])</f>
        <v>25000</v>
      </c>
    </row>
    <row r="20" spans="1:11" x14ac:dyDescent="0.3">
      <c r="A20" s="2" t="s">
        <v>62</v>
      </c>
      <c r="B20" s="3" t="s">
        <v>63</v>
      </c>
      <c r="C20" s="3" t="s">
        <v>17</v>
      </c>
      <c r="D20" s="3" t="s">
        <v>13</v>
      </c>
      <c r="E20" s="4">
        <v>45775</v>
      </c>
      <c r="F20" s="5">
        <v>40000</v>
      </c>
      <c r="G20" s="5">
        <v>24000</v>
      </c>
      <c r="H20" s="5">
        <f t="shared" si="0"/>
        <v>16000</v>
      </c>
      <c r="I20" s="2" t="str">
        <f t="shared" si="1"/>
        <v>Partial</v>
      </c>
      <c r="J20" s="3" t="s">
        <v>14</v>
      </c>
      <c r="K20">
        <f>SUM(StudentFees[[#This Row],[Paid Fees]],StudentFees[[#This Row],[Remaining Fees]])</f>
        <v>40000</v>
      </c>
    </row>
    <row r="21" spans="1:11" x14ac:dyDescent="0.3">
      <c r="A21" s="2" t="s">
        <v>64</v>
      </c>
      <c r="B21" s="3" t="s">
        <v>65</v>
      </c>
      <c r="C21" s="3" t="s">
        <v>22</v>
      </c>
      <c r="D21" s="3" t="s">
        <v>18</v>
      </c>
      <c r="E21" s="4">
        <v>45785</v>
      </c>
      <c r="F21" s="5">
        <v>30000</v>
      </c>
      <c r="G21" s="5">
        <v>30000</v>
      </c>
      <c r="H21" s="5">
        <f t="shared" si="0"/>
        <v>0</v>
      </c>
      <c r="I21" s="2" t="str">
        <f t="shared" si="1"/>
        <v>Paid</v>
      </c>
      <c r="J21" s="3" t="s">
        <v>14</v>
      </c>
      <c r="K21">
        <f>SUM(StudentFees[[#This Row],[Paid Fees]],StudentFees[[#This Row],[Remaining Fees]])</f>
        <v>30000</v>
      </c>
    </row>
    <row r="22" spans="1:11" x14ac:dyDescent="0.3">
      <c r="A22" s="2" t="s">
        <v>66</v>
      </c>
      <c r="B22" s="3" t="s">
        <v>67</v>
      </c>
      <c r="C22" s="3" t="s">
        <v>17</v>
      </c>
      <c r="D22" s="3" t="s">
        <v>23</v>
      </c>
      <c r="E22" s="4">
        <v>45785</v>
      </c>
      <c r="F22" s="5">
        <v>22000</v>
      </c>
      <c r="G22" s="5">
        <v>22000</v>
      </c>
      <c r="H22" s="5">
        <f t="shared" si="0"/>
        <v>0</v>
      </c>
      <c r="I22" s="2" t="str">
        <f t="shared" si="1"/>
        <v>Paid</v>
      </c>
      <c r="J22" s="3" t="s">
        <v>24</v>
      </c>
      <c r="K22">
        <f>SUM(StudentFees[[#This Row],[Paid Fees]],StudentFees[[#This Row],[Remaining Fees]])</f>
        <v>22000</v>
      </c>
    </row>
    <row r="23" spans="1:11" x14ac:dyDescent="0.3">
      <c r="A23" s="2" t="s">
        <v>68</v>
      </c>
      <c r="B23" s="3" t="s">
        <v>69</v>
      </c>
      <c r="C23" s="3" t="s">
        <v>17</v>
      </c>
      <c r="D23" s="3" t="s">
        <v>18</v>
      </c>
      <c r="E23" s="4">
        <v>45788</v>
      </c>
      <c r="F23" s="5">
        <v>27000</v>
      </c>
      <c r="G23" s="5">
        <v>16000</v>
      </c>
      <c r="H23" s="5">
        <f t="shared" si="0"/>
        <v>11000</v>
      </c>
      <c r="I23" s="2" t="str">
        <f t="shared" si="1"/>
        <v>Partial</v>
      </c>
      <c r="J23" s="3" t="s">
        <v>14</v>
      </c>
      <c r="K23">
        <f>SUM(StudentFees[[#This Row],[Paid Fees]],StudentFees[[#This Row],[Remaining Fees]])</f>
        <v>27000</v>
      </c>
    </row>
    <row r="24" spans="1:11" x14ac:dyDescent="0.3">
      <c r="A24" s="2" t="s">
        <v>70</v>
      </c>
      <c r="B24" s="3" t="s">
        <v>71</v>
      </c>
      <c r="C24" s="3" t="s">
        <v>36</v>
      </c>
      <c r="D24" s="3" t="s">
        <v>39</v>
      </c>
      <c r="E24" s="4">
        <v>45798</v>
      </c>
      <c r="F24" s="5">
        <v>38000</v>
      </c>
      <c r="G24" s="5">
        <v>38000</v>
      </c>
      <c r="H24" s="5">
        <f t="shared" si="0"/>
        <v>0</v>
      </c>
      <c r="I24" s="2" t="str">
        <f t="shared" si="1"/>
        <v>Paid</v>
      </c>
      <c r="J24" s="3" t="s">
        <v>14</v>
      </c>
      <c r="K24">
        <f>SUM(StudentFees[[#This Row],[Paid Fees]],StudentFees[[#This Row],[Remaining Fees]])</f>
        <v>38000</v>
      </c>
    </row>
    <row r="25" spans="1:11" x14ac:dyDescent="0.3">
      <c r="A25" s="2" t="s">
        <v>72</v>
      </c>
      <c r="B25" s="3" t="s">
        <v>73</v>
      </c>
      <c r="C25" s="3" t="s">
        <v>36</v>
      </c>
      <c r="D25" s="3" t="s">
        <v>27</v>
      </c>
      <c r="E25" s="4">
        <v>45823</v>
      </c>
      <c r="F25" s="5">
        <v>45000</v>
      </c>
      <c r="G25" s="5">
        <v>34000</v>
      </c>
      <c r="H25" s="5">
        <f t="shared" si="0"/>
        <v>11000</v>
      </c>
      <c r="I25" s="2" t="str">
        <f t="shared" si="1"/>
        <v>Partial</v>
      </c>
      <c r="J25" s="3" t="s">
        <v>19</v>
      </c>
      <c r="K25">
        <f>SUM(StudentFees[[#This Row],[Paid Fees]],StudentFees[[#This Row],[Remaining Fees]])</f>
        <v>45000</v>
      </c>
    </row>
    <row r="26" spans="1:11" x14ac:dyDescent="0.3">
      <c r="A26" s="2" t="s">
        <v>74</v>
      </c>
      <c r="B26" s="3" t="s">
        <v>75</v>
      </c>
      <c r="C26" s="3" t="s">
        <v>22</v>
      </c>
      <c r="D26" s="3" t="s">
        <v>42</v>
      </c>
      <c r="E26" s="4">
        <v>45828</v>
      </c>
      <c r="F26" s="5">
        <v>28000</v>
      </c>
      <c r="G26" s="5">
        <v>28000</v>
      </c>
      <c r="H26" s="5">
        <f t="shared" si="0"/>
        <v>0</v>
      </c>
      <c r="I26" s="2" t="str">
        <f t="shared" si="1"/>
        <v>Paid</v>
      </c>
      <c r="J26" s="3" t="s">
        <v>14</v>
      </c>
      <c r="K26">
        <f>SUM(StudentFees[[#This Row],[Paid Fees]],StudentFees[[#This Row],[Remaining Fees]])</f>
        <v>28000</v>
      </c>
    </row>
    <row r="27" spans="1:11" x14ac:dyDescent="0.3">
      <c r="A27" s="2" t="s">
        <v>76</v>
      </c>
      <c r="B27" s="3" t="s">
        <v>77</v>
      </c>
      <c r="C27" s="3" t="s">
        <v>17</v>
      </c>
      <c r="D27" s="3" t="s">
        <v>13</v>
      </c>
      <c r="E27" s="4">
        <v>45838</v>
      </c>
      <c r="F27" s="5">
        <v>40000</v>
      </c>
      <c r="G27" s="5">
        <v>40000</v>
      </c>
      <c r="H27" s="5">
        <f t="shared" si="0"/>
        <v>0</v>
      </c>
      <c r="I27" s="2" t="str">
        <f t="shared" si="1"/>
        <v>Paid</v>
      </c>
      <c r="J27" s="3" t="s">
        <v>28</v>
      </c>
      <c r="K27">
        <f>SUM(StudentFees[[#This Row],[Paid Fees]],StudentFees[[#This Row],[Remaining Fees]])</f>
        <v>40000</v>
      </c>
    </row>
    <row r="28" spans="1:11" x14ac:dyDescent="0.3">
      <c r="A28" s="2" t="s">
        <v>78</v>
      </c>
      <c r="B28" s="3" t="s">
        <v>79</v>
      </c>
      <c r="C28" s="3" t="s">
        <v>36</v>
      </c>
      <c r="D28" s="3" t="s">
        <v>42</v>
      </c>
      <c r="E28" s="4">
        <v>45841</v>
      </c>
      <c r="F28" s="5">
        <v>25000</v>
      </c>
      <c r="G28" s="5">
        <v>25000</v>
      </c>
      <c r="H28" s="5">
        <f t="shared" si="0"/>
        <v>0</v>
      </c>
      <c r="I28" s="2" t="str">
        <f t="shared" si="1"/>
        <v>Paid</v>
      </c>
      <c r="J28" s="3" t="s">
        <v>19</v>
      </c>
      <c r="K28">
        <f>SUM(StudentFees[[#This Row],[Paid Fees]],StudentFees[[#This Row],[Remaining Fees]])</f>
        <v>25000</v>
      </c>
    </row>
    <row r="29" spans="1:11" x14ac:dyDescent="0.3">
      <c r="A29" s="2" t="s">
        <v>80</v>
      </c>
      <c r="B29" s="3" t="s">
        <v>81</v>
      </c>
      <c r="C29" s="3" t="s">
        <v>36</v>
      </c>
      <c r="D29" s="3" t="s">
        <v>27</v>
      </c>
      <c r="E29" s="4">
        <v>45844</v>
      </c>
      <c r="F29" s="5">
        <v>45000</v>
      </c>
      <c r="G29" s="5">
        <v>0</v>
      </c>
      <c r="H29" s="5">
        <f t="shared" si="0"/>
        <v>45000</v>
      </c>
      <c r="I29" s="2" t="str">
        <f t="shared" si="1"/>
        <v>Unpaid</v>
      </c>
      <c r="J29" s="3" t="s">
        <v>33</v>
      </c>
      <c r="K29">
        <f>SUM(StudentFees[[#This Row],[Paid Fees]],StudentFees[[#This Row],[Remaining Fees]])</f>
        <v>45000</v>
      </c>
    </row>
    <row r="30" spans="1:11" x14ac:dyDescent="0.3">
      <c r="A30" s="2" t="s">
        <v>82</v>
      </c>
      <c r="B30" s="3" t="s">
        <v>83</v>
      </c>
      <c r="C30" s="3" t="s">
        <v>47</v>
      </c>
      <c r="D30" s="3" t="s">
        <v>13</v>
      </c>
      <c r="E30" s="4">
        <v>45849</v>
      </c>
      <c r="F30" s="5">
        <v>37000</v>
      </c>
      <c r="G30" s="5">
        <v>0</v>
      </c>
      <c r="H30" s="5">
        <f t="shared" si="0"/>
        <v>37000</v>
      </c>
      <c r="I30" s="2" t="str">
        <f t="shared" si="1"/>
        <v>Unpaid</v>
      </c>
      <c r="J30" s="3" t="s">
        <v>14</v>
      </c>
      <c r="K30">
        <f>SUM(StudentFees[[#This Row],[Paid Fees]],StudentFees[[#This Row],[Remaining Fees]])</f>
        <v>37000</v>
      </c>
    </row>
    <row r="31" spans="1:11" x14ac:dyDescent="0.3">
      <c r="A31" s="2" t="s">
        <v>84</v>
      </c>
      <c r="B31" s="3" t="s">
        <v>85</v>
      </c>
      <c r="C31" s="3" t="s">
        <v>12</v>
      </c>
      <c r="D31" s="3" t="s">
        <v>42</v>
      </c>
      <c r="E31" s="4">
        <v>45852</v>
      </c>
      <c r="F31" s="5">
        <v>28000</v>
      </c>
      <c r="G31" s="5">
        <v>28000</v>
      </c>
      <c r="H31" s="5">
        <f t="shared" si="0"/>
        <v>0</v>
      </c>
      <c r="I31" s="2" t="str">
        <f t="shared" si="1"/>
        <v>Paid</v>
      </c>
      <c r="J31" s="3" t="s">
        <v>33</v>
      </c>
      <c r="K31">
        <f>SUM(StudentFees[[#This Row],[Paid Fees]],StudentFees[[#This Row],[Remaining Fees]])</f>
        <v>28000</v>
      </c>
    </row>
    <row r="32" spans="1:11" x14ac:dyDescent="0.3">
      <c r="A32" s="2" t="s">
        <v>86</v>
      </c>
      <c r="B32" s="3" t="s">
        <v>87</v>
      </c>
      <c r="C32" s="3" t="s">
        <v>36</v>
      </c>
      <c r="D32" s="3" t="s">
        <v>27</v>
      </c>
      <c r="E32" s="4">
        <v>45882</v>
      </c>
      <c r="F32" s="5">
        <v>45000</v>
      </c>
      <c r="G32" s="5">
        <v>22500</v>
      </c>
      <c r="H32" s="5">
        <f t="shared" si="0"/>
        <v>22500</v>
      </c>
      <c r="I32" s="2" t="str">
        <f t="shared" si="1"/>
        <v>Partial</v>
      </c>
      <c r="J32" s="3" t="s">
        <v>19</v>
      </c>
      <c r="K32">
        <f>SUM(StudentFees[[#This Row],[Paid Fees]],StudentFees[[#This Row],[Remaining Fees]])</f>
        <v>45000</v>
      </c>
    </row>
    <row r="33" spans="1:11" x14ac:dyDescent="0.3">
      <c r="A33" s="2" t="s">
        <v>88</v>
      </c>
      <c r="B33" s="3" t="s">
        <v>89</v>
      </c>
      <c r="C33" s="3" t="s">
        <v>22</v>
      </c>
      <c r="D33" s="3" t="s">
        <v>39</v>
      </c>
      <c r="E33" s="4">
        <v>45882</v>
      </c>
      <c r="F33" s="5">
        <v>38000</v>
      </c>
      <c r="G33" s="5">
        <v>0</v>
      </c>
      <c r="H33" s="5">
        <f t="shared" si="0"/>
        <v>38000</v>
      </c>
      <c r="I33" s="2" t="str">
        <f t="shared" si="1"/>
        <v>Unpaid</v>
      </c>
      <c r="J33" s="3" t="s">
        <v>14</v>
      </c>
      <c r="K33">
        <f>SUM(StudentFees[[#This Row],[Paid Fees]],StudentFees[[#This Row],[Remaining Fees]])</f>
        <v>38000</v>
      </c>
    </row>
    <row r="34" spans="1:11" x14ac:dyDescent="0.3">
      <c r="A34" s="2" t="s">
        <v>90</v>
      </c>
      <c r="B34" s="3" t="s">
        <v>91</v>
      </c>
      <c r="C34" s="3" t="s">
        <v>17</v>
      </c>
      <c r="D34" s="3" t="s">
        <v>42</v>
      </c>
      <c r="E34" s="4">
        <v>45883</v>
      </c>
      <c r="F34" s="5">
        <v>28000</v>
      </c>
      <c r="G34" s="5">
        <v>14000</v>
      </c>
      <c r="H34" s="5">
        <f t="shared" ref="H34:H65" si="2">F34-G34</f>
        <v>14000</v>
      </c>
      <c r="I34" s="2" t="str">
        <f t="shared" ref="I34:I65" si="3">IF(H34=0,"Paid",IF(G34=0,"Unpaid","Partial"))</f>
        <v>Partial</v>
      </c>
      <c r="J34" s="3" t="s">
        <v>28</v>
      </c>
      <c r="K34">
        <f>SUM(StudentFees[[#This Row],[Paid Fees]],StudentFees[[#This Row],[Remaining Fees]])</f>
        <v>28000</v>
      </c>
    </row>
    <row r="35" spans="1:11" x14ac:dyDescent="0.3">
      <c r="A35" s="2" t="s">
        <v>92</v>
      </c>
      <c r="B35" s="3" t="s">
        <v>93</v>
      </c>
      <c r="C35" s="3" t="s">
        <v>17</v>
      </c>
      <c r="D35" s="3" t="s">
        <v>13</v>
      </c>
      <c r="E35" s="4">
        <v>45884</v>
      </c>
      <c r="F35" s="5">
        <v>40000</v>
      </c>
      <c r="G35" s="5">
        <v>40000</v>
      </c>
      <c r="H35" s="5">
        <f t="shared" si="2"/>
        <v>0</v>
      </c>
      <c r="I35" s="2" t="str">
        <f t="shared" si="3"/>
        <v>Paid</v>
      </c>
      <c r="J35" s="3" t="s">
        <v>33</v>
      </c>
      <c r="K35">
        <f>SUM(StudentFees[[#This Row],[Paid Fees]],StudentFees[[#This Row],[Remaining Fees]])</f>
        <v>40000</v>
      </c>
    </row>
    <row r="36" spans="1:11" x14ac:dyDescent="0.3">
      <c r="A36" s="2" t="s">
        <v>94</v>
      </c>
      <c r="B36" s="3" t="s">
        <v>95</v>
      </c>
      <c r="C36" s="3" t="s">
        <v>12</v>
      </c>
      <c r="D36" s="3" t="s">
        <v>13</v>
      </c>
      <c r="E36" s="4">
        <v>45899</v>
      </c>
      <c r="F36" s="5">
        <v>40000</v>
      </c>
      <c r="G36" s="5">
        <v>0</v>
      </c>
      <c r="H36" s="5">
        <f t="shared" si="2"/>
        <v>40000</v>
      </c>
      <c r="I36" s="2" t="str">
        <f t="shared" si="3"/>
        <v>Unpaid</v>
      </c>
      <c r="J36" s="3" t="s">
        <v>14</v>
      </c>
      <c r="K36">
        <f>SUM(StudentFees[[#This Row],[Paid Fees]],StudentFees[[#This Row],[Remaining Fees]])</f>
        <v>40000</v>
      </c>
    </row>
    <row r="37" spans="1:11" x14ac:dyDescent="0.3">
      <c r="A37" s="2" t="s">
        <v>96</v>
      </c>
      <c r="B37" s="3" t="s">
        <v>97</v>
      </c>
      <c r="C37" s="3" t="s">
        <v>47</v>
      </c>
      <c r="D37" s="3" t="s">
        <v>42</v>
      </c>
      <c r="E37" s="4">
        <v>45903</v>
      </c>
      <c r="F37" s="5">
        <v>26000</v>
      </c>
      <c r="G37" s="5">
        <v>19500</v>
      </c>
      <c r="H37" s="5">
        <f t="shared" si="2"/>
        <v>6500</v>
      </c>
      <c r="I37" s="2" t="str">
        <f t="shared" si="3"/>
        <v>Partial</v>
      </c>
      <c r="J37" s="3" t="s">
        <v>33</v>
      </c>
      <c r="K37">
        <f>SUM(StudentFees[[#This Row],[Paid Fees]],StudentFees[[#This Row],[Remaining Fees]])</f>
        <v>26000</v>
      </c>
    </row>
    <row r="38" spans="1:11" x14ac:dyDescent="0.3">
      <c r="A38" s="2" t="s">
        <v>98</v>
      </c>
      <c r="B38" s="3" t="s">
        <v>99</v>
      </c>
      <c r="C38" s="3" t="s">
        <v>22</v>
      </c>
      <c r="D38" s="3" t="s">
        <v>42</v>
      </c>
      <c r="E38" s="4">
        <v>45920</v>
      </c>
      <c r="F38" s="5">
        <v>26000</v>
      </c>
      <c r="G38" s="5">
        <v>13000</v>
      </c>
      <c r="H38" s="5">
        <f t="shared" si="2"/>
        <v>13000</v>
      </c>
      <c r="I38" s="2" t="str">
        <f t="shared" si="3"/>
        <v>Partial</v>
      </c>
      <c r="J38" s="3" t="s">
        <v>14</v>
      </c>
      <c r="K38">
        <f>SUM(StudentFees[[#This Row],[Paid Fees]],StudentFees[[#This Row],[Remaining Fees]])</f>
        <v>26000</v>
      </c>
    </row>
    <row r="39" spans="1:11" x14ac:dyDescent="0.3">
      <c r="A39" s="2" t="s">
        <v>100</v>
      </c>
      <c r="B39" s="3" t="s">
        <v>101</v>
      </c>
      <c r="C39" s="3" t="s">
        <v>12</v>
      </c>
      <c r="D39" s="3" t="s">
        <v>42</v>
      </c>
      <c r="E39" s="4">
        <v>45925</v>
      </c>
      <c r="F39" s="5">
        <v>28000</v>
      </c>
      <c r="G39" s="5">
        <v>8500</v>
      </c>
      <c r="H39" s="5">
        <f t="shared" si="2"/>
        <v>19500</v>
      </c>
      <c r="I39" s="2" t="str">
        <f t="shared" si="3"/>
        <v>Partial</v>
      </c>
      <c r="J39" s="3" t="s">
        <v>14</v>
      </c>
      <c r="K39">
        <f>SUM(StudentFees[[#This Row],[Paid Fees]],StudentFees[[#This Row],[Remaining Fees]])</f>
        <v>28000</v>
      </c>
    </row>
    <row r="40" spans="1:11" x14ac:dyDescent="0.3">
      <c r="A40" s="2" t="s">
        <v>102</v>
      </c>
      <c r="B40" s="3" t="s">
        <v>103</v>
      </c>
      <c r="C40" s="3" t="s">
        <v>17</v>
      </c>
      <c r="D40" s="3" t="s">
        <v>27</v>
      </c>
      <c r="E40" s="4">
        <v>45926</v>
      </c>
      <c r="F40" s="5">
        <v>45000</v>
      </c>
      <c r="G40" s="5">
        <v>45000</v>
      </c>
      <c r="H40" s="5">
        <f t="shared" si="2"/>
        <v>0</v>
      </c>
      <c r="I40" s="2" t="str">
        <f t="shared" si="3"/>
        <v>Paid</v>
      </c>
      <c r="J40" s="3" t="s">
        <v>33</v>
      </c>
      <c r="K40">
        <f>SUM(StudentFees[[#This Row],[Paid Fees]],StudentFees[[#This Row],[Remaining Fees]])</f>
        <v>45000</v>
      </c>
    </row>
    <row r="41" spans="1:11" x14ac:dyDescent="0.3">
      <c r="A41" s="2" t="s">
        <v>104</v>
      </c>
      <c r="B41" s="3" t="s">
        <v>105</v>
      </c>
      <c r="C41" s="3" t="s">
        <v>36</v>
      </c>
      <c r="D41" s="3" t="s">
        <v>18</v>
      </c>
      <c r="E41" s="4">
        <v>45930</v>
      </c>
      <c r="F41" s="5">
        <v>27000</v>
      </c>
      <c r="G41" s="5">
        <v>5500</v>
      </c>
      <c r="H41" s="5">
        <f t="shared" si="2"/>
        <v>21500</v>
      </c>
      <c r="I41" s="2" t="str">
        <f t="shared" si="3"/>
        <v>Partial</v>
      </c>
      <c r="J41" s="3" t="s">
        <v>14</v>
      </c>
      <c r="K41">
        <f>SUM(StudentFees[[#This Row],[Paid Fees]],StudentFees[[#This Row],[Remaining Fees]])</f>
        <v>27000</v>
      </c>
    </row>
    <row r="42" spans="1:11" x14ac:dyDescent="0.3">
      <c r="A42" s="2" t="s">
        <v>106</v>
      </c>
      <c r="B42" s="3" t="s">
        <v>107</v>
      </c>
      <c r="C42" s="3" t="s">
        <v>12</v>
      </c>
      <c r="D42" s="3" t="s">
        <v>18</v>
      </c>
      <c r="E42" s="4">
        <v>45932</v>
      </c>
      <c r="F42" s="5">
        <v>30000</v>
      </c>
      <c r="G42" s="5">
        <v>30000</v>
      </c>
      <c r="H42" s="5">
        <f t="shared" si="2"/>
        <v>0</v>
      </c>
      <c r="I42" s="2" t="str">
        <f t="shared" si="3"/>
        <v>Paid</v>
      </c>
      <c r="J42" s="3" t="s">
        <v>33</v>
      </c>
      <c r="K42">
        <f>SUM(StudentFees[[#This Row],[Paid Fees]],StudentFees[[#This Row],[Remaining Fees]])</f>
        <v>30000</v>
      </c>
    </row>
    <row r="43" spans="1:11" x14ac:dyDescent="0.3">
      <c r="A43" s="2" t="s">
        <v>108</v>
      </c>
      <c r="B43" s="3" t="s">
        <v>109</v>
      </c>
      <c r="C43" s="3" t="s">
        <v>17</v>
      </c>
      <c r="D43" s="3" t="s">
        <v>13</v>
      </c>
      <c r="E43" s="4">
        <v>45933</v>
      </c>
      <c r="F43" s="5">
        <v>35000</v>
      </c>
      <c r="G43" s="5">
        <v>21000</v>
      </c>
      <c r="H43" s="5">
        <f t="shared" si="2"/>
        <v>14000</v>
      </c>
      <c r="I43" s="2" t="str">
        <f t="shared" si="3"/>
        <v>Partial</v>
      </c>
      <c r="J43" s="3" t="s">
        <v>19</v>
      </c>
      <c r="K43">
        <f>SUM(StudentFees[[#This Row],[Paid Fees]],StudentFees[[#This Row],[Remaining Fees]])</f>
        <v>35000</v>
      </c>
    </row>
    <row r="44" spans="1:11" x14ac:dyDescent="0.3">
      <c r="A44" s="2" t="s">
        <v>110</v>
      </c>
      <c r="B44" s="3" t="s">
        <v>111</v>
      </c>
      <c r="C44" s="3" t="s">
        <v>47</v>
      </c>
      <c r="D44" s="3" t="s">
        <v>39</v>
      </c>
      <c r="E44" s="4">
        <v>45937</v>
      </c>
      <c r="F44" s="5">
        <v>38000</v>
      </c>
      <c r="G44" s="5">
        <v>15000</v>
      </c>
      <c r="H44" s="5">
        <f t="shared" si="2"/>
        <v>23000</v>
      </c>
      <c r="I44" s="2" t="str">
        <f t="shared" si="3"/>
        <v>Partial</v>
      </c>
      <c r="J44" s="3" t="s">
        <v>33</v>
      </c>
      <c r="K44">
        <f>SUM(StudentFees[[#This Row],[Paid Fees]],StudentFees[[#This Row],[Remaining Fees]])</f>
        <v>38000</v>
      </c>
    </row>
    <row r="45" spans="1:11" x14ac:dyDescent="0.3">
      <c r="A45" s="2" t="s">
        <v>112</v>
      </c>
      <c r="B45" s="3" t="s">
        <v>113</v>
      </c>
      <c r="C45" s="3" t="s">
        <v>36</v>
      </c>
      <c r="D45" s="3" t="s">
        <v>13</v>
      </c>
      <c r="E45" s="4">
        <v>45943</v>
      </c>
      <c r="F45" s="5">
        <v>40000</v>
      </c>
      <c r="G45" s="5">
        <v>16000</v>
      </c>
      <c r="H45" s="5">
        <f t="shared" si="2"/>
        <v>24000</v>
      </c>
      <c r="I45" s="2" t="str">
        <f t="shared" si="3"/>
        <v>Partial</v>
      </c>
      <c r="J45" s="3" t="s">
        <v>24</v>
      </c>
      <c r="K45">
        <f>SUM(StudentFees[[#This Row],[Paid Fees]],StudentFees[[#This Row],[Remaining Fees]])</f>
        <v>40000</v>
      </c>
    </row>
    <row r="46" spans="1:11" x14ac:dyDescent="0.3">
      <c r="A46" s="2" t="s">
        <v>114</v>
      </c>
      <c r="B46" s="3" t="s">
        <v>115</v>
      </c>
      <c r="C46" s="3" t="s">
        <v>17</v>
      </c>
      <c r="D46" s="3" t="s">
        <v>13</v>
      </c>
      <c r="E46" s="4">
        <v>45946</v>
      </c>
      <c r="F46" s="5">
        <v>37000</v>
      </c>
      <c r="G46" s="5">
        <v>37000</v>
      </c>
      <c r="H46" s="5">
        <f t="shared" si="2"/>
        <v>0</v>
      </c>
      <c r="I46" s="2" t="str">
        <f t="shared" si="3"/>
        <v>Paid</v>
      </c>
      <c r="J46" s="3" t="s">
        <v>33</v>
      </c>
      <c r="K46">
        <f>SUM(StudentFees[[#This Row],[Paid Fees]],StudentFees[[#This Row],[Remaining Fees]])</f>
        <v>37000</v>
      </c>
    </row>
    <row r="47" spans="1:11" x14ac:dyDescent="0.3">
      <c r="A47" s="2" t="s">
        <v>116</v>
      </c>
      <c r="B47" s="3" t="s">
        <v>117</v>
      </c>
      <c r="C47" s="3" t="s">
        <v>22</v>
      </c>
      <c r="D47" s="3" t="s">
        <v>27</v>
      </c>
      <c r="E47" s="4">
        <v>45950</v>
      </c>
      <c r="F47" s="5">
        <v>45000</v>
      </c>
      <c r="G47" s="5">
        <v>34000</v>
      </c>
      <c r="H47" s="5">
        <f t="shared" si="2"/>
        <v>11000</v>
      </c>
      <c r="I47" s="2" t="str">
        <f t="shared" si="3"/>
        <v>Partial</v>
      </c>
      <c r="J47" s="3" t="s">
        <v>33</v>
      </c>
      <c r="K47">
        <f>SUM(StudentFees[[#This Row],[Paid Fees]],StudentFees[[#This Row],[Remaining Fees]])</f>
        <v>45000</v>
      </c>
    </row>
    <row r="48" spans="1:11" x14ac:dyDescent="0.3">
      <c r="A48" s="2" t="s">
        <v>118</v>
      </c>
      <c r="B48" s="3" t="s">
        <v>119</v>
      </c>
      <c r="C48" s="3" t="s">
        <v>17</v>
      </c>
      <c r="D48" s="3" t="s">
        <v>27</v>
      </c>
      <c r="E48" s="4">
        <v>45957</v>
      </c>
      <c r="F48" s="5">
        <v>45000</v>
      </c>
      <c r="G48" s="5">
        <v>9000</v>
      </c>
      <c r="H48" s="5">
        <f t="shared" si="2"/>
        <v>36000</v>
      </c>
      <c r="I48" s="2" t="str">
        <f t="shared" si="3"/>
        <v>Partial</v>
      </c>
      <c r="J48" s="3" t="s">
        <v>28</v>
      </c>
      <c r="K48">
        <f>SUM(StudentFees[[#This Row],[Paid Fees]],StudentFees[[#This Row],[Remaining Fees]])</f>
        <v>45000</v>
      </c>
    </row>
    <row r="49" spans="1:11" x14ac:dyDescent="0.3">
      <c r="A49" s="2" t="s">
        <v>120</v>
      </c>
      <c r="B49" s="3" t="s">
        <v>121</v>
      </c>
      <c r="C49" s="3" t="s">
        <v>12</v>
      </c>
      <c r="D49" s="3" t="s">
        <v>13</v>
      </c>
      <c r="E49" s="4">
        <v>45961</v>
      </c>
      <c r="F49" s="5">
        <v>40000</v>
      </c>
      <c r="G49" s="5">
        <v>40000</v>
      </c>
      <c r="H49" s="5">
        <f t="shared" si="2"/>
        <v>0</v>
      </c>
      <c r="I49" s="2" t="str">
        <f t="shared" si="3"/>
        <v>Paid</v>
      </c>
      <c r="J49" s="3" t="s">
        <v>19</v>
      </c>
      <c r="K49">
        <f>SUM(StudentFees[[#This Row],[Paid Fees]],StudentFees[[#This Row],[Remaining Fees]])</f>
        <v>40000</v>
      </c>
    </row>
    <row r="50" spans="1:11" x14ac:dyDescent="0.3">
      <c r="A50" s="2" t="s">
        <v>122</v>
      </c>
      <c r="B50" s="3" t="s">
        <v>123</v>
      </c>
      <c r="C50" s="3" t="s">
        <v>47</v>
      </c>
      <c r="D50" s="3" t="s">
        <v>18</v>
      </c>
      <c r="E50" s="4">
        <v>45964</v>
      </c>
      <c r="F50" s="5">
        <v>30000</v>
      </c>
      <c r="G50" s="5">
        <v>18000</v>
      </c>
      <c r="H50" s="5">
        <f t="shared" si="2"/>
        <v>12000</v>
      </c>
      <c r="I50" s="2" t="str">
        <f t="shared" si="3"/>
        <v>Partial</v>
      </c>
      <c r="J50" s="3" t="s">
        <v>14</v>
      </c>
      <c r="K50">
        <f>SUM(StudentFees[[#This Row],[Paid Fees]],StudentFees[[#This Row],[Remaining Fees]])</f>
        <v>30000</v>
      </c>
    </row>
    <row r="51" spans="1:11" x14ac:dyDescent="0.3">
      <c r="A51" s="2" t="s">
        <v>124</v>
      </c>
      <c r="B51" s="3" t="s">
        <v>125</v>
      </c>
      <c r="C51" s="3" t="s">
        <v>36</v>
      </c>
      <c r="D51" s="3" t="s">
        <v>18</v>
      </c>
      <c r="E51" s="4">
        <v>45980</v>
      </c>
      <c r="F51" s="5">
        <v>30000</v>
      </c>
      <c r="G51" s="5">
        <v>6000</v>
      </c>
      <c r="H51" s="5">
        <f t="shared" si="2"/>
        <v>24000</v>
      </c>
      <c r="I51" s="2" t="str">
        <f t="shared" si="3"/>
        <v>Partial</v>
      </c>
      <c r="J51" s="3" t="s">
        <v>19</v>
      </c>
      <c r="K51">
        <f>SUM(StudentFees[[#This Row],[Paid Fees]],StudentFees[[#This Row],[Remaining Fees]])</f>
        <v>30000</v>
      </c>
    </row>
    <row r="52" spans="1:11" x14ac:dyDescent="0.3">
      <c r="A52" s="2" t="s">
        <v>126</v>
      </c>
      <c r="B52" s="3" t="s">
        <v>127</v>
      </c>
      <c r="C52" s="3" t="s">
        <v>22</v>
      </c>
      <c r="D52" s="3" t="s">
        <v>27</v>
      </c>
      <c r="E52" s="4">
        <v>45984</v>
      </c>
      <c r="F52" s="5">
        <v>45000</v>
      </c>
      <c r="G52" s="5">
        <v>27000</v>
      </c>
      <c r="H52" s="5">
        <f t="shared" si="2"/>
        <v>18000</v>
      </c>
      <c r="I52" s="2" t="str">
        <f t="shared" si="3"/>
        <v>Partial</v>
      </c>
      <c r="J52" s="3" t="s">
        <v>14</v>
      </c>
      <c r="K52">
        <f>SUM(StudentFees[[#This Row],[Paid Fees]],StudentFees[[#This Row],[Remaining Fees]])</f>
        <v>45000</v>
      </c>
    </row>
    <row r="53" spans="1:11" x14ac:dyDescent="0.3">
      <c r="A53" s="2" t="s">
        <v>128</v>
      </c>
      <c r="B53" s="3" t="s">
        <v>129</v>
      </c>
      <c r="C53" s="3" t="s">
        <v>36</v>
      </c>
      <c r="D53" s="3" t="s">
        <v>27</v>
      </c>
      <c r="E53" s="4">
        <v>45985</v>
      </c>
      <c r="F53" s="5">
        <v>45000</v>
      </c>
      <c r="G53" s="5">
        <v>13500</v>
      </c>
      <c r="H53" s="5">
        <f t="shared" si="2"/>
        <v>31500</v>
      </c>
      <c r="I53" s="2" t="str">
        <f t="shared" si="3"/>
        <v>Partial</v>
      </c>
      <c r="J53" s="3" t="s">
        <v>33</v>
      </c>
      <c r="K53">
        <f>SUM(StudentFees[[#This Row],[Paid Fees]],StudentFees[[#This Row],[Remaining Fees]])</f>
        <v>45000</v>
      </c>
    </row>
    <row r="54" spans="1:11" x14ac:dyDescent="0.3">
      <c r="A54" s="2" t="s">
        <v>130</v>
      </c>
      <c r="B54" s="3" t="s">
        <v>131</v>
      </c>
      <c r="C54" s="3" t="s">
        <v>17</v>
      </c>
      <c r="D54" s="3" t="s">
        <v>13</v>
      </c>
      <c r="E54" s="4">
        <v>45985</v>
      </c>
      <c r="F54" s="5">
        <v>40000</v>
      </c>
      <c r="G54" s="5">
        <v>40000</v>
      </c>
      <c r="H54" s="5">
        <f t="shared" si="2"/>
        <v>0</v>
      </c>
      <c r="I54" s="2" t="str">
        <f t="shared" si="3"/>
        <v>Paid</v>
      </c>
      <c r="J54" s="3" t="s">
        <v>33</v>
      </c>
      <c r="K54">
        <f>SUM(StudentFees[[#This Row],[Paid Fees]],StudentFees[[#This Row],[Remaining Fees]])</f>
        <v>40000</v>
      </c>
    </row>
    <row r="55" spans="1:11" x14ac:dyDescent="0.3">
      <c r="A55" s="2" t="s">
        <v>132</v>
      </c>
      <c r="B55" s="3" t="s">
        <v>133</v>
      </c>
      <c r="C55" s="3" t="s">
        <v>17</v>
      </c>
      <c r="D55" s="3" t="s">
        <v>39</v>
      </c>
      <c r="E55" s="4">
        <v>45986</v>
      </c>
      <c r="F55" s="5">
        <v>38000</v>
      </c>
      <c r="G55" s="5">
        <v>38000</v>
      </c>
      <c r="H55" s="5">
        <f t="shared" si="2"/>
        <v>0</v>
      </c>
      <c r="I55" s="2" t="str">
        <f t="shared" si="3"/>
        <v>Paid</v>
      </c>
      <c r="J55" s="3" t="s">
        <v>28</v>
      </c>
      <c r="K55">
        <f>SUM(StudentFees[[#This Row],[Paid Fees]],StudentFees[[#This Row],[Remaining Fees]])</f>
        <v>38000</v>
      </c>
    </row>
    <row r="56" spans="1:11" x14ac:dyDescent="0.3">
      <c r="A56" s="2" t="s">
        <v>134</v>
      </c>
      <c r="B56" s="3" t="s">
        <v>135</v>
      </c>
      <c r="C56" s="3" t="s">
        <v>17</v>
      </c>
      <c r="D56" s="3" t="s">
        <v>18</v>
      </c>
      <c r="E56" s="4">
        <v>45996</v>
      </c>
      <c r="F56" s="5">
        <v>30000</v>
      </c>
      <c r="G56" s="5">
        <v>30000</v>
      </c>
      <c r="H56" s="5">
        <f t="shared" si="2"/>
        <v>0</v>
      </c>
      <c r="I56" s="2" t="str">
        <f t="shared" si="3"/>
        <v>Paid</v>
      </c>
      <c r="J56" s="3" t="s">
        <v>33</v>
      </c>
      <c r="K56">
        <f>SUM(StudentFees[[#This Row],[Paid Fees]],StudentFees[[#This Row],[Remaining Fees]])</f>
        <v>30000</v>
      </c>
    </row>
    <row r="57" spans="1:11" x14ac:dyDescent="0.3">
      <c r="A57" s="2" t="s">
        <v>136</v>
      </c>
      <c r="B57" s="3" t="s">
        <v>137</v>
      </c>
      <c r="C57" s="3" t="s">
        <v>12</v>
      </c>
      <c r="D57" s="3" t="s">
        <v>13</v>
      </c>
      <c r="E57" s="4">
        <v>46001</v>
      </c>
      <c r="F57" s="5">
        <v>40000</v>
      </c>
      <c r="G57" s="5">
        <v>40000</v>
      </c>
      <c r="H57" s="5">
        <f t="shared" si="2"/>
        <v>0</v>
      </c>
      <c r="I57" s="2" t="str">
        <f t="shared" si="3"/>
        <v>Paid</v>
      </c>
      <c r="J57" s="3" t="s">
        <v>33</v>
      </c>
      <c r="K57">
        <f>SUM(StudentFees[[#This Row],[Paid Fees]],StudentFees[[#This Row],[Remaining Fees]])</f>
        <v>40000</v>
      </c>
    </row>
    <row r="58" spans="1:11" x14ac:dyDescent="0.3">
      <c r="A58" s="2" t="s">
        <v>138</v>
      </c>
      <c r="B58" s="3" t="s">
        <v>139</v>
      </c>
      <c r="C58" s="3" t="s">
        <v>12</v>
      </c>
      <c r="D58" s="3" t="s">
        <v>18</v>
      </c>
      <c r="E58" s="4">
        <v>46021</v>
      </c>
      <c r="F58" s="5">
        <v>28000</v>
      </c>
      <c r="G58" s="5">
        <v>8500</v>
      </c>
      <c r="H58" s="5">
        <f t="shared" si="2"/>
        <v>19500</v>
      </c>
      <c r="I58" s="2" t="str">
        <f t="shared" si="3"/>
        <v>Partial</v>
      </c>
      <c r="J58" s="3" t="s">
        <v>24</v>
      </c>
      <c r="K58">
        <f>SUM(StudentFees[[#This Row],[Paid Fees]],StudentFees[[#This Row],[Remaining Fees]])</f>
        <v>28000</v>
      </c>
    </row>
    <row r="59" spans="1:11" x14ac:dyDescent="0.3">
      <c r="A59" s="2" t="s">
        <v>140</v>
      </c>
      <c r="B59" s="3" t="s">
        <v>141</v>
      </c>
      <c r="C59" s="3" t="s">
        <v>22</v>
      </c>
      <c r="D59" s="3" t="s">
        <v>13</v>
      </c>
      <c r="E59" s="4">
        <v>46023</v>
      </c>
      <c r="F59" s="5">
        <v>40000</v>
      </c>
      <c r="G59" s="5">
        <v>8000</v>
      </c>
      <c r="H59" s="5">
        <f t="shared" si="2"/>
        <v>32000</v>
      </c>
      <c r="I59" s="2" t="str">
        <f t="shared" si="3"/>
        <v>Partial</v>
      </c>
      <c r="J59" s="3" t="s">
        <v>33</v>
      </c>
      <c r="K59">
        <f>SUM(StudentFees[[#This Row],[Paid Fees]],StudentFees[[#This Row],[Remaining Fees]])</f>
        <v>40000</v>
      </c>
    </row>
    <row r="60" spans="1:11" x14ac:dyDescent="0.3">
      <c r="A60" s="2" t="s">
        <v>142</v>
      </c>
      <c r="B60" s="3" t="s">
        <v>143</v>
      </c>
      <c r="C60" s="3" t="s">
        <v>17</v>
      </c>
      <c r="D60" s="3" t="s">
        <v>23</v>
      </c>
      <c r="E60" s="4">
        <v>46023</v>
      </c>
      <c r="F60" s="5">
        <v>20000</v>
      </c>
      <c r="G60" s="5">
        <v>0</v>
      </c>
      <c r="H60" s="5">
        <f t="shared" si="2"/>
        <v>20000</v>
      </c>
      <c r="I60" s="2" t="str">
        <f t="shared" si="3"/>
        <v>Unpaid</v>
      </c>
      <c r="J60" s="3" t="s">
        <v>28</v>
      </c>
      <c r="K60">
        <f>SUM(StudentFees[[#This Row],[Paid Fees]],StudentFees[[#This Row],[Remaining Fees]])</f>
        <v>20000</v>
      </c>
    </row>
    <row r="61" spans="1:11" x14ac:dyDescent="0.3">
      <c r="A61" s="2" t="s">
        <v>144</v>
      </c>
      <c r="B61" s="3" t="s">
        <v>145</v>
      </c>
      <c r="C61" s="3" t="s">
        <v>17</v>
      </c>
      <c r="D61" s="3" t="s">
        <v>27</v>
      </c>
      <c r="E61" s="4">
        <v>46027</v>
      </c>
      <c r="F61" s="5">
        <v>45000</v>
      </c>
      <c r="G61" s="5">
        <v>45000</v>
      </c>
      <c r="H61" s="5">
        <f t="shared" si="2"/>
        <v>0</v>
      </c>
      <c r="I61" s="2" t="str">
        <f t="shared" si="3"/>
        <v>Paid</v>
      </c>
      <c r="J61" s="3" t="s">
        <v>28</v>
      </c>
      <c r="K61">
        <f>SUM(StudentFees[[#This Row],[Paid Fees]],StudentFees[[#This Row],[Remaining Fees]])</f>
        <v>45000</v>
      </c>
    </row>
    <row r="62" spans="1:11" x14ac:dyDescent="0.3">
      <c r="A62" s="2" t="s">
        <v>146</v>
      </c>
      <c r="B62" s="3" t="s">
        <v>147</v>
      </c>
      <c r="C62" s="3" t="s">
        <v>12</v>
      </c>
      <c r="D62" s="3" t="s">
        <v>13</v>
      </c>
      <c r="E62" s="4">
        <v>46046</v>
      </c>
      <c r="F62" s="5">
        <v>40000</v>
      </c>
      <c r="G62" s="5">
        <v>24000</v>
      </c>
      <c r="H62" s="5">
        <f t="shared" si="2"/>
        <v>16000</v>
      </c>
      <c r="I62" s="2" t="str">
        <f t="shared" si="3"/>
        <v>Partial</v>
      </c>
      <c r="J62" s="3" t="s">
        <v>19</v>
      </c>
      <c r="K62">
        <f>SUM(StudentFees[[#This Row],[Paid Fees]],StudentFees[[#This Row],[Remaining Fees]])</f>
        <v>40000</v>
      </c>
    </row>
    <row r="63" spans="1:11" x14ac:dyDescent="0.3">
      <c r="A63" s="2" t="s">
        <v>148</v>
      </c>
      <c r="B63" s="3" t="s">
        <v>149</v>
      </c>
      <c r="C63" s="3" t="s">
        <v>36</v>
      </c>
      <c r="D63" s="3" t="s">
        <v>13</v>
      </c>
      <c r="E63" s="4">
        <v>46061</v>
      </c>
      <c r="F63" s="5">
        <v>40000</v>
      </c>
      <c r="G63" s="5">
        <v>0</v>
      </c>
      <c r="H63" s="5">
        <f t="shared" si="2"/>
        <v>40000</v>
      </c>
      <c r="I63" s="2" t="str">
        <f t="shared" si="3"/>
        <v>Unpaid</v>
      </c>
      <c r="J63" s="3" t="s">
        <v>33</v>
      </c>
      <c r="K63">
        <f>SUM(StudentFees[[#This Row],[Paid Fees]],StudentFees[[#This Row],[Remaining Fees]])</f>
        <v>40000</v>
      </c>
    </row>
    <row r="64" spans="1:11" x14ac:dyDescent="0.3">
      <c r="A64" s="2" t="s">
        <v>150</v>
      </c>
      <c r="B64" s="3" t="s">
        <v>151</v>
      </c>
      <c r="C64" s="3" t="s">
        <v>12</v>
      </c>
      <c r="D64" s="3" t="s">
        <v>13</v>
      </c>
      <c r="E64" s="4">
        <v>46076</v>
      </c>
      <c r="F64" s="5">
        <v>40000</v>
      </c>
      <c r="G64" s="5">
        <v>40000</v>
      </c>
      <c r="H64" s="5">
        <f t="shared" si="2"/>
        <v>0</v>
      </c>
      <c r="I64" s="2" t="str">
        <f t="shared" si="3"/>
        <v>Paid</v>
      </c>
      <c r="J64" s="3" t="s">
        <v>33</v>
      </c>
      <c r="K64">
        <f>SUM(StudentFees[[#This Row],[Paid Fees]],StudentFees[[#This Row],[Remaining Fees]])</f>
        <v>40000</v>
      </c>
    </row>
    <row r="65" spans="1:11" x14ac:dyDescent="0.3">
      <c r="A65" s="2" t="s">
        <v>152</v>
      </c>
      <c r="B65" s="3" t="s">
        <v>153</v>
      </c>
      <c r="C65" s="3" t="s">
        <v>36</v>
      </c>
      <c r="D65" s="3" t="s">
        <v>13</v>
      </c>
      <c r="E65" s="4">
        <v>46080</v>
      </c>
      <c r="F65" s="5">
        <v>37000</v>
      </c>
      <c r="G65" s="5">
        <v>22000</v>
      </c>
      <c r="H65" s="5">
        <f t="shared" si="2"/>
        <v>15000</v>
      </c>
      <c r="I65" s="2" t="str">
        <f t="shared" si="3"/>
        <v>Partial</v>
      </c>
      <c r="J65" s="3" t="s">
        <v>19</v>
      </c>
      <c r="K65">
        <f>SUM(StudentFees[[#This Row],[Paid Fees]],StudentFees[[#This Row],[Remaining Fees]])</f>
        <v>37000</v>
      </c>
    </row>
    <row r="66" spans="1:11" x14ac:dyDescent="0.3">
      <c r="A66" s="2" t="s">
        <v>154</v>
      </c>
      <c r="B66" s="3" t="s">
        <v>155</v>
      </c>
      <c r="C66" s="3" t="s">
        <v>12</v>
      </c>
      <c r="D66" s="3" t="s">
        <v>23</v>
      </c>
      <c r="E66" s="4">
        <v>46084</v>
      </c>
      <c r="F66" s="5">
        <v>25000</v>
      </c>
      <c r="G66" s="5">
        <v>0</v>
      </c>
      <c r="H66" s="5">
        <f t="shared" ref="H66:H97" si="4">F66-G66</f>
        <v>25000</v>
      </c>
      <c r="I66" s="2" t="str">
        <f t="shared" ref="I66:I97" si="5">IF(H66=0,"Paid",IF(G66=0,"Unpaid","Partial"))</f>
        <v>Unpaid</v>
      </c>
      <c r="J66" s="3" t="s">
        <v>33</v>
      </c>
      <c r="K66">
        <f>SUM(StudentFees[[#This Row],[Paid Fees]],StudentFees[[#This Row],[Remaining Fees]])</f>
        <v>25000</v>
      </c>
    </row>
    <row r="67" spans="1:11" x14ac:dyDescent="0.3">
      <c r="A67" s="2" t="s">
        <v>156</v>
      </c>
      <c r="B67" s="3" t="s">
        <v>157</v>
      </c>
      <c r="C67" s="3" t="s">
        <v>36</v>
      </c>
      <c r="D67" s="3" t="s">
        <v>39</v>
      </c>
      <c r="E67" s="4">
        <v>46087</v>
      </c>
      <c r="F67" s="5">
        <v>33000</v>
      </c>
      <c r="G67" s="5">
        <v>16500</v>
      </c>
      <c r="H67" s="5">
        <f t="shared" si="4"/>
        <v>16500</v>
      </c>
      <c r="I67" s="2" t="str">
        <f t="shared" si="5"/>
        <v>Partial</v>
      </c>
      <c r="J67" s="3" t="s">
        <v>33</v>
      </c>
      <c r="K67">
        <f>SUM(StudentFees[[#This Row],[Paid Fees]],StudentFees[[#This Row],[Remaining Fees]])</f>
        <v>33000</v>
      </c>
    </row>
    <row r="68" spans="1:11" x14ac:dyDescent="0.3">
      <c r="A68" s="2" t="s">
        <v>158</v>
      </c>
      <c r="B68" s="3" t="s">
        <v>159</v>
      </c>
      <c r="C68" s="3" t="s">
        <v>22</v>
      </c>
      <c r="D68" s="3" t="s">
        <v>42</v>
      </c>
      <c r="E68" s="4">
        <v>46088</v>
      </c>
      <c r="F68" s="5">
        <v>28000</v>
      </c>
      <c r="G68" s="5">
        <v>14000</v>
      </c>
      <c r="H68" s="5">
        <f t="shared" si="4"/>
        <v>14000</v>
      </c>
      <c r="I68" s="2" t="str">
        <f t="shared" si="5"/>
        <v>Partial</v>
      </c>
      <c r="J68" s="3" t="s">
        <v>33</v>
      </c>
      <c r="K68">
        <f>SUM(StudentFees[[#This Row],[Paid Fees]],StudentFees[[#This Row],[Remaining Fees]])</f>
        <v>28000</v>
      </c>
    </row>
    <row r="69" spans="1:11" x14ac:dyDescent="0.3">
      <c r="A69" s="2" t="s">
        <v>160</v>
      </c>
      <c r="B69" s="3" t="s">
        <v>161</v>
      </c>
      <c r="C69" s="3" t="s">
        <v>17</v>
      </c>
      <c r="D69" s="3" t="s">
        <v>39</v>
      </c>
      <c r="E69" s="4">
        <v>46099</v>
      </c>
      <c r="F69" s="5">
        <v>38000</v>
      </c>
      <c r="G69" s="5">
        <v>19000</v>
      </c>
      <c r="H69" s="5">
        <f t="shared" si="4"/>
        <v>19000</v>
      </c>
      <c r="I69" s="2" t="str">
        <f t="shared" si="5"/>
        <v>Partial</v>
      </c>
      <c r="J69" s="3" t="s">
        <v>14</v>
      </c>
      <c r="K69">
        <f>SUM(StudentFees[[#This Row],[Paid Fees]],StudentFees[[#This Row],[Remaining Fees]])</f>
        <v>38000</v>
      </c>
    </row>
    <row r="70" spans="1:11" x14ac:dyDescent="0.3">
      <c r="A70" s="2" t="s">
        <v>162</v>
      </c>
      <c r="B70" s="3" t="s">
        <v>163</v>
      </c>
      <c r="C70" s="3" t="s">
        <v>36</v>
      </c>
      <c r="D70" s="3" t="s">
        <v>27</v>
      </c>
      <c r="E70" s="4">
        <v>46109</v>
      </c>
      <c r="F70" s="5">
        <v>45000</v>
      </c>
      <c r="G70" s="5">
        <v>0</v>
      </c>
      <c r="H70" s="5">
        <f t="shared" si="4"/>
        <v>45000</v>
      </c>
      <c r="I70" s="2" t="str">
        <f t="shared" si="5"/>
        <v>Unpaid</v>
      </c>
      <c r="J70" s="3" t="s">
        <v>28</v>
      </c>
      <c r="K70">
        <f>SUM(StudentFees[[#This Row],[Paid Fees]],StudentFees[[#This Row],[Remaining Fees]])</f>
        <v>45000</v>
      </c>
    </row>
    <row r="71" spans="1:11" x14ac:dyDescent="0.3">
      <c r="A71" s="2" t="s">
        <v>164</v>
      </c>
      <c r="B71" s="3" t="s">
        <v>165</v>
      </c>
      <c r="C71" s="3" t="s">
        <v>47</v>
      </c>
      <c r="D71" s="3" t="s">
        <v>13</v>
      </c>
      <c r="E71" s="4">
        <v>46118</v>
      </c>
      <c r="F71" s="5">
        <v>40000</v>
      </c>
      <c r="G71" s="5">
        <v>0</v>
      </c>
      <c r="H71" s="5">
        <f t="shared" si="4"/>
        <v>40000</v>
      </c>
      <c r="I71" s="2" t="str">
        <f t="shared" si="5"/>
        <v>Unpaid</v>
      </c>
      <c r="J71" s="3" t="s">
        <v>19</v>
      </c>
      <c r="K71">
        <f>SUM(StudentFees[[#This Row],[Paid Fees]],StudentFees[[#This Row],[Remaining Fees]])</f>
        <v>40000</v>
      </c>
    </row>
    <row r="72" spans="1:11" x14ac:dyDescent="0.3">
      <c r="A72" s="2" t="s">
        <v>166</v>
      </c>
      <c r="B72" s="3" t="s">
        <v>167</v>
      </c>
      <c r="C72" s="3" t="s">
        <v>17</v>
      </c>
      <c r="D72" s="3" t="s">
        <v>27</v>
      </c>
      <c r="E72" s="4">
        <v>46128</v>
      </c>
      <c r="F72" s="5">
        <v>45000</v>
      </c>
      <c r="G72" s="5">
        <v>0</v>
      </c>
      <c r="H72" s="5">
        <f t="shared" si="4"/>
        <v>45000</v>
      </c>
      <c r="I72" s="2" t="str">
        <f t="shared" si="5"/>
        <v>Unpaid</v>
      </c>
      <c r="J72" s="3" t="s">
        <v>33</v>
      </c>
      <c r="K72">
        <f>SUM(StudentFees[[#This Row],[Paid Fees]],StudentFees[[#This Row],[Remaining Fees]])</f>
        <v>45000</v>
      </c>
    </row>
    <row r="73" spans="1:11" x14ac:dyDescent="0.3">
      <c r="A73" s="2" t="s">
        <v>168</v>
      </c>
      <c r="B73" s="3" t="s">
        <v>169</v>
      </c>
      <c r="C73" s="3" t="s">
        <v>12</v>
      </c>
      <c r="D73" s="3" t="s">
        <v>18</v>
      </c>
      <c r="E73" s="4">
        <v>46129</v>
      </c>
      <c r="F73" s="5">
        <v>28000</v>
      </c>
      <c r="G73" s="5">
        <v>21000</v>
      </c>
      <c r="H73" s="5">
        <f t="shared" si="4"/>
        <v>7000</v>
      </c>
      <c r="I73" s="2" t="str">
        <f t="shared" si="5"/>
        <v>Partial</v>
      </c>
      <c r="J73" s="3" t="s">
        <v>14</v>
      </c>
      <c r="K73">
        <f>SUM(StudentFees[[#This Row],[Paid Fees]],StudentFees[[#This Row],[Remaining Fees]])</f>
        <v>28000</v>
      </c>
    </row>
    <row r="74" spans="1:11" x14ac:dyDescent="0.3">
      <c r="A74" s="2" t="s">
        <v>170</v>
      </c>
      <c r="B74" s="3" t="s">
        <v>171</v>
      </c>
      <c r="C74" s="3" t="s">
        <v>47</v>
      </c>
      <c r="D74" s="3" t="s">
        <v>39</v>
      </c>
      <c r="E74" s="4">
        <v>46136</v>
      </c>
      <c r="F74" s="5">
        <v>38000</v>
      </c>
      <c r="G74" s="5">
        <v>38000</v>
      </c>
      <c r="H74" s="5">
        <f t="shared" si="4"/>
        <v>0</v>
      </c>
      <c r="I74" s="2" t="str">
        <f t="shared" si="5"/>
        <v>Paid</v>
      </c>
      <c r="J74" s="3" t="s">
        <v>14</v>
      </c>
      <c r="K74">
        <f>SUM(StudentFees[[#This Row],[Paid Fees]],StudentFees[[#This Row],[Remaining Fees]])</f>
        <v>38000</v>
      </c>
    </row>
    <row r="75" spans="1:11" x14ac:dyDescent="0.3">
      <c r="A75" s="2" t="s">
        <v>172</v>
      </c>
      <c r="B75" s="3" t="s">
        <v>173</v>
      </c>
      <c r="C75" s="3" t="s">
        <v>17</v>
      </c>
      <c r="D75" s="3" t="s">
        <v>39</v>
      </c>
      <c r="E75" s="4">
        <v>46138</v>
      </c>
      <c r="F75" s="5">
        <v>38000</v>
      </c>
      <c r="G75" s="5">
        <v>38000</v>
      </c>
      <c r="H75" s="5">
        <f t="shared" si="4"/>
        <v>0</v>
      </c>
      <c r="I75" s="2" t="str">
        <f t="shared" si="5"/>
        <v>Paid</v>
      </c>
      <c r="J75" s="3" t="s">
        <v>33</v>
      </c>
      <c r="K75">
        <f>SUM(StudentFees[[#This Row],[Paid Fees]],StudentFees[[#This Row],[Remaining Fees]])</f>
        <v>38000</v>
      </c>
    </row>
    <row r="76" spans="1:11" x14ac:dyDescent="0.3">
      <c r="A76" s="2" t="s">
        <v>174</v>
      </c>
      <c r="B76" s="3" t="s">
        <v>175</v>
      </c>
      <c r="C76" s="3" t="s">
        <v>12</v>
      </c>
      <c r="D76" s="3" t="s">
        <v>42</v>
      </c>
      <c r="E76" s="4">
        <v>46141</v>
      </c>
      <c r="F76" s="5">
        <v>28000</v>
      </c>
      <c r="G76" s="5">
        <v>14000</v>
      </c>
      <c r="H76" s="5">
        <f t="shared" si="4"/>
        <v>14000</v>
      </c>
      <c r="I76" s="2" t="str">
        <f t="shared" si="5"/>
        <v>Partial</v>
      </c>
      <c r="J76" s="3" t="s">
        <v>19</v>
      </c>
      <c r="K76">
        <f>SUM(StudentFees[[#This Row],[Paid Fees]],StudentFees[[#This Row],[Remaining Fees]])</f>
        <v>28000</v>
      </c>
    </row>
    <row r="77" spans="1:11" x14ac:dyDescent="0.3">
      <c r="A77" s="2" t="s">
        <v>176</v>
      </c>
      <c r="B77" s="3" t="s">
        <v>177</v>
      </c>
      <c r="C77" s="3" t="s">
        <v>22</v>
      </c>
      <c r="D77" s="3" t="s">
        <v>13</v>
      </c>
      <c r="E77" s="4">
        <v>46156</v>
      </c>
      <c r="F77" s="5">
        <v>38000</v>
      </c>
      <c r="G77" s="5">
        <v>0</v>
      </c>
      <c r="H77" s="5">
        <f t="shared" si="4"/>
        <v>38000</v>
      </c>
      <c r="I77" s="2" t="str">
        <f t="shared" si="5"/>
        <v>Unpaid</v>
      </c>
      <c r="J77" s="3" t="s">
        <v>14</v>
      </c>
      <c r="K77">
        <f>SUM(StudentFees[[#This Row],[Paid Fees]],StudentFees[[#This Row],[Remaining Fees]])</f>
        <v>38000</v>
      </c>
    </row>
    <row r="78" spans="1:11" x14ac:dyDescent="0.3">
      <c r="A78" s="2" t="s">
        <v>178</v>
      </c>
      <c r="B78" s="3" t="s">
        <v>179</v>
      </c>
      <c r="C78" s="3" t="s">
        <v>47</v>
      </c>
      <c r="D78" s="3" t="s">
        <v>13</v>
      </c>
      <c r="E78" s="4">
        <v>46172</v>
      </c>
      <c r="F78" s="5">
        <v>40000</v>
      </c>
      <c r="G78" s="5">
        <v>40000</v>
      </c>
      <c r="H78" s="5">
        <f t="shared" si="4"/>
        <v>0</v>
      </c>
      <c r="I78" s="2" t="str">
        <f t="shared" si="5"/>
        <v>Paid</v>
      </c>
      <c r="J78" s="3" t="s">
        <v>14</v>
      </c>
      <c r="K78">
        <f>SUM(StudentFees[[#This Row],[Paid Fees]],StudentFees[[#This Row],[Remaining Fees]])</f>
        <v>40000</v>
      </c>
    </row>
    <row r="79" spans="1:11" x14ac:dyDescent="0.3">
      <c r="A79" s="2" t="s">
        <v>180</v>
      </c>
      <c r="B79" s="3" t="s">
        <v>181</v>
      </c>
      <c r="C79" s="3" t="s">
        <v>47</v>
      </c>
      <c r="D79" s="3" t="s">
        <v>18</v>
      </c>
      <c r="E79" s="4">
        <v>46176</v>
      </c>
      <c r="F79" s="5">
        <v>30000</v>
      </c>
      <c r="G79" s="5">
        <v>30000</v>
      </c>
      <c r="H79" s="5">
        <f t="shared" si="4"/>
        <v>0</v>
      </c>
      <c r="I79" s="2" t="str">
        <f t="shared" si="5"/>
        <v>Paid</v>
      </c>
      <c r="J79" s="3" t="s">
        <v>33</v>
      </c>
      <c r="K79">
        <f>SUM(StudentFees[[#This Row],[Paid Fees]],StudentFees[[#This Row],[Remaining Fees]])</f>
        <v>30000</v>
      </c>
    </row>
    <row r="80" spans="1:11" x14ac:dyDescent="0.3">
      <c r="A80" s="2" t="s">
        <v>182</v>
      </c>
      <c r="B80" s="3" t="s">
        <v>183</v>
      </c>
      <c r="C80" s="3" t="s">
        <v>12</v>
      </c>
      <c r="D80" s="3" t="s">
        <v>13</v>
      </c>
      <c r="E80" s="4">
        <v>46181</v>
      </c>
      <c r="F80" s="5">
        <v>40000</v>
      </c>
      <c r="G80" s="5">
        <v>0</v>
      </c>
      <c r="H80" s="5">
        <f t="shared" si="4"/>
        <v>40000</v>
      </c>
      <c r="I80" s="2" t="str">
        <f t="shared" si="5"/>
        <v>Unpaid</v>
      </c>
      <c r="J80" s="3" t="s">
        <v>24</v>
      </c>
      <c r="K80">
        <f>SUM(StudentFees[[#This Row],[Paid Fees]],StudentFees[[#This Row],[Remaining Fees]])</f>
        <v>40000</v>
      </c>
    </row>
    <row r="81" spans="1:11" x14ac:dyDescent="0.3">
      <c r="A81" s="2" t="s">
        <v>184</v>
      </c>
      <c r="B81" s="3" t="s">
        <v>185</v>
      </c>
      <c r="C81" s="3" t="s">
        <v>12</v>
      </c>
      <c r="D81" s="3" t="s">
        <v>13</v>
      </c>
      <c r="E81" s="4">
        <v>46194</v>
      </c>
      <c r="F81" s="5">
        <v>37000</v>
      </c>
      <c r="G81" s="5">
        <v>15000</v>
      </c>
      <c r="H81" s="5">
        <f t="shared" si="4"/>
        <v>22000</v>
      </c>
      <c r="I81" s="2" t="str">
        <f t="shared" si="5"/>
        <v>Partial</v>
      </c>
      <c r="J81" s="3" t="s">
        <v>33</v>
      </c>
      <c r="K81">
        <f>SUM(StudentFees[[#This Row],[Paid Fees]],StudentFees[[#This Row],[Remaining Fees]])</f>
        <v>37000</v>
      </c>
    </row>
    <row r="82" spans="1:11" x14ac:dyDescent="0.3">
      <c r="A82" s="2" t="s">
        <v>186</v>
      </c>
      <c r="B82" s="3" t="s">
        <v>187</v>
      </c>
      <c r="C82" s="3" t="s">
        <v>12</v>
      </c>
      <c r="D82" s="3" t="s">
        <v>27</v>
      </c>
      <c r="E82" s="4">
        <v>46200</v>
      </c>
      <c r="F82" s="5">
        <v>45000</v>
      </c>
      <c r="G82" s="5">
        <v>45000</v>
      </c>
      <c r="H82" s="5">
        <f t="shared" si="4"/>
        <v>0</v>
      </c>
      <c r="I82" s="2" t="str">
        <f t="shared" si="5"/>
        <v>Paid</v>
      </c>
      <c r="J82" s="3" t="s">
        <v>14</v>
      </c>
      <c r="K82">
        <f>SUM(StudentFees[[#This Row],[Paid Fees]],StudentFees[[#This Row],[Remaining Fees]])</f>
        <v>45000</v>
      </c>
    </row>
    <row r="83" spans="1:11" x14ac:dyDescent="0.3">
      <c r="A83" s="2" t="s">
        <v>188</v>
      </c>
      <c r="B83" s="3" t="s">
        <v>189</v>
      </c>
      <c r="C83" s="3" t="s">
        <v>36</v>
      </c>
      <c r="D83" s="3" t="s">
        <v>18</v>
      </c>
      <c r="E83" s="4">
        <v>46202</v>
      </c>
      <c r="F83" s="5">
        <v>30000</v>
      </c>
      <c r="G83" s="5">
        <v>30000</v>
      </c>
      <c r="H83" s="5">
        <f t="shared" si="4"/>
        <v>0</v>
      </c>
      <c r="I83" s="2" t="str">
        <f t="shared" si="5"/>
        <v>Paid</v>
      </c>
      <c r="J83" s="3" t="s">
        <v>14</v>
      </c>
      <c r="K83">
        <f>SUM(StudentFees[[#This Row],[Paid Fees]],StudentFees[[#This Row],[Remaining Fees]])</f>
        <v>30000</v>
      </c>
    </row>
    <row r="84" spans="1:11" x14ac:dyDescent="0.3">
      <c r="A84" s="2" t="s">
        <v>190</v>
      </c>
      <c r="B84" s="3" t="s">
        <v>191</v>
      </c>
      <c r="C84" s="3" t="s">
        <v>36</v>
      </c>
      <c r="D84" s="3" t="s">
        <v>27</v>
      </c>
      <c r="E84" s="4">
        <v>46214</v>
      </c>
      <c r="F84" s="5">
        <v>45000</v>
      </c>
      <c r="G84" s="5">
        <v>13500</v>
      </c>
      <c r="H84" s="5">
        <f t="shared" si="4"/>
        <v>31500</v>
      </c>
      <c r="I84" s="2" t="str">
        <f t="shared" si="5"/>
        <v>Partial</v>
      </c>
      <c r="J84" s="3" t="s">
        <v>33</v>
      </c>
      <c r="K84">
        <f>SUM(StudentFees[[#This Row],[Paid Fees]],StudentFees[[#This Row],[Remaining Fees]])</f>
        <v>45000</v>
      </c>
    </row>
    <row r="85" spans="1:11" x14ac:dyDescent="0.3">
      <c r="A85" s="2" t="s">
        <v>192</v>
      </c>
      <c r="B85" s="3" t="s">
        <v>193</v>
      </c>
      <c r="C85" s="3" t="s">
        <v>36</v>
      </c>
      <c r="D85" s="3" t="s">
        <v>27</v>
      </c>
      <c r="E85" s="4">
        <v>46221</v>
      </c>
      <c r="F85" s="5">
        <v>45000</v>
      </c>
      <c r="G85" s="5">
        <v>45000</v>
      </c>
      <c r="H85" s="5">
        <f t="shared" si="4"/>
        <v>0</v>
      </c>
      <c r="I85" s="2" t="str">
        <f t="shared" si="5"/>
        <v>Paid</v>
      </c>
      <c r="J85" s="3" t="s">
        <v>33</v>
      </c>
      <c r="K85">
        <f>SUM(StudentFees[[#This Row],[Paid Fees]],StudentFees[[#This Row],[Remaining Fees]])</f>
        <v>45000</v>
      </c>
    </row>
    <row r="86" spans="1:11" x14ac:dyDescent="0.3">
      <c r="A86" s="2" t="s">
        <v>194</v>
      </c>
      <c r="B86" s="3" t="s">
        <v>195</v>
      </c>
      <c r="C86" s="3" t="s">
        <v>17</v>
      </c>
      <c r="D86" s="3" t="s">
        <v>39</v>
      </c>
      <c r="E86" s="4">
        <v>46232</v>
      </c>
      <c r="F86" s="5">
        <v>38000</v>
      </c>
      <c r="G86" s="5">
        <v>23000</v>
      </c>
      <c r="H86" s="5">
        <f t="shared" si="4"/>
        <v>15000</v>
      </c>
      <c r="I86" s="2" t="str">
        <f t="shared" si="5"/>
        <v>Partial</v>
      </c>
      <c r="J86" s="3" t="s">
        <v>33</v>
      </c>
      <c r="K86">
        <f>SUM(StudentFees[[#This Row],[Paid Fees]],StudentFees[[#This Row],[Remaining Fees]])</f>
        <v>38000</v>
      </c>
    </row>
    <row r="87" spans="1:11" x14ac:dyDescent="0.3">
      <c r="A87" s="2" t="s">
        <v>196</v>
      </c>
      <c r="B87" s="3" t="s">
        <v>197</v>
      </c>
      <c r="C87" s="3" t="s">
        <v>47</v>
      </c>
      <c r="D87" s="3" t="s">
        <v>39</v>
      </c>
      <c r="E87" s="4">
        <v>46232</v>
      </c>
      <c r="F87" s="5">
        <v>38000</v>
      </c>
      <c r="G87" s="5">
        <v>38000</v>
      </c>
      <c r="H87" s="5">
        <f t="shared" si="4"/>
        <v>0</v>
      </c>
      <c r="I87" s="2" t="str">
        <f t="shared" si="5"/>
        <v>Paid</v>
      </c>
      <c r="J87" s="3" t="s">
        <v>33</v>
      </c>
      <c r="K87">
        <f>SUM(StudentFees[[#This Row],[Paid Fees]],StudentFees[[#This Row],[Remaining Fees]])</f>
        <v>38000</v>
      </c>
    </row>
    <row r="88" spans="1:11" x14ac:dyDescent="0.3">
      <c r="A88" s="2" t="s">
        <v>198</v>
      </c>
      <c r="B88" s="3" t="s">
        <v>199</v>
      </c>
      <c r="C88" s="3" t="s">
        <v>36</v>
      </c>
      <c r="D88" s="3" t="s">
        <v>42</v>
      </c>
      <c r="E88" s="4">
        <v>46237</v>
      </c>
      <c r="F88" s="5">
        <v>28000</v>
      </c>
      <c r="G88" s="5">
        <v>21000</v>
      </c>
      <c r="H88" s="5">
        <f t="shared" si="4"/>
        <v>7000</v>
      </c>
      <c r="I88" s="2" t="str">
        <f t="shared" si="5"/>
        <v>Partial</v>
      </c>
      <c r="J88" s="3" t="s">
        <v>33</v>
      </c>
      <c r="K88">
        <f>SUM(StudentFees[[#This Row],[Paid Fees]],StudentFees[[#This Row],[Remaining Fees]])</f>
        <v>28000</v>
      </c>
    </row>
    <row r="89" spans="1:11" x14ac:dyDescent="0.3">
      <c r="A89" s="2" t="s">
        <v>200</v>
      </c>
      <c r="B89" s="3" t="s">
        <v>201</v>
      </c>
      <c r="C89" s="3" t="s">
        <v>17</v>
      </c>
      <c r="D89" s="3" t="s">
        <v>39</v>
      </c>
      <c r="E89" s="4">
        <v>46238</v>
      </c>
      <c r="F89" s="5">
        <v>38000</v>
      </c>
      <c r="G89" s="5">
        <v>38000</v>
      </c>
      <c r="H89" s="5">
        <f t="shared" si="4"/>
        <v>0</v>
      </c>
      <c r="I89" s="2" t="str">
        <f t="shared" si="5"/>
        <v>Paid</v>
      </c>
      <c r="J89" s="3" t="s">
        <v>33</v>
      </c>
      <c r="K89">
        <f>SUM(StudentFees[[#This Row],[Paid Fees]],StudentFees[[#This Row],[Remaining Fees]])</f>
        <v>38000</v>
      </c>
    </row>
    <row r="90" spans="1:11" x14ac:dyDescent="0.3">
      <c r="A90" s="2" t="s">
        <v>202</v>
      </c>
      <c r="B90" s="3" t="s">
        <v>203</v>
      </c>
      <c r="C90" s="3" t="s">
        <v>17</v>
      </c>
      <c r="D90" s="3" t="s">
        <v>27</v>
      </c>
      <c r="E90" s="4">
        <v>46239</v>
      </c>
      <c r="F90" s="5">
        <v>43000</v>
      </c>
      <c r="G90" s="5">
        <v>43000</v>
      </c>
      <c r="H90" s="5">
        <f t="shared" si="4"/>
        <v>0</v>
      </c>
      <c r="I90" s="2" t="str">
        <f t="shared" si="5"/>
        <v>Paid</v>
      </c>
      <c r="J90" s="3" t="s">
        <v>14</v>
      </c>
      <c r="K90">
        <f>SUM(StudentFees[[#This Row],[Paid Fees]],StudentFees[[#This Row],[Remaining Fees]])</f>
        <v>43000</v>
      </c>
    </row>
    <row r="91" spans="1:11" x14ac:dyDescent="0.3">
      <c r="A91" s="2" t="s">
        <v>204</v>
      </c>
      <c r="B91" s="3" t="s">
        <v>205</v>
      </c>
      <c r="C91" s="3" t="s">
        <v>12</v>
      </c>
      <c r="D91" s="3" t="s">
        <v>13</v>
      </c>
      <c r="E91" s="4">
        <v>46244</v>
      </c>
      <c r="F91" s="5">
        <v>38000</v>
      </c>
      <c r="G91" s="5">
        <v>0</v>
      </c>
      <c r="H91" s="5">
        <f t="shared" si="4"/>
        <v>38000</v>
      </c>
      <c r="I91" s="2" t="str">
        <f t="shared" si="5"/>
        <v>Unpaid</v>
      </c>
      <c r="J91" s="3" t="s">
        <v>33</v>
      </c>
      <c r="K91">
        <f>SUM(StudentFees[[#This Row],[Paid Fees]],StudentFees[[#This Row],[Remaining Fees]])</f>
        <v>38000</v>
      </c>
    </row>
    <row r="92" spans="1:11" x14ac:dyDescent="0.3">
      <c r="A92" s="2" t="s">
        <v>206</v>
      </c>
      <c r="B92" s="3" t="s">
        <v>207</v>
      </c>
      <c r="C92" s="3" t="s">
        <v>17</v>
      </c>
      <c r="D92" s="3" t="s">
        <v>13</v>
      </c>
      <c r="E92" s="4">
        <v>46246</v>
      </c>
      <c r="F92" s="5">
        <v>38000</v>
      </c>
      <c r="G92" s="5">
        <v>38000</v>
      </c>
      <c r="H92" s="5">
        <f t="shared" si="4"/>
        <v>0</v>
      </c>
      <c r="I92" s="2" t="str">
        <f t="shared" si="5"/>
        <v>Paid</v>
      </c>
      <c r="J92" s="3" t="s">
        <v>19</v>
      </c>
      <c r="K92">
        <f>SUM(StudentFees[[#This Row],[Paid Fees]],StudentFees[[#This Row],[Remaining Fees]])</f>
        <v>38000</v>
      </c>
    </row>
    <row r="93" spans="1:11" x14ac:dyDescent="0.3">
      <c r="A93" s="2" t="s">
        <v>208</v>
      </c>
      <c r="B93" s="3" t="s">
        <v>209</v>
      </c>
      <c r="C93" s="3" t="s">
        <v>36</v>
      </c>
      <c r="D93" s="3" t="s">
        <v>23</v>
      </c>
      <c r="E93" s="4">
        <v>46249</v>
      </c>
      <c r="F93" s="5">
        <v>25000</v>
      </c>
      <c r="G93" s="5">
        <v>0</v>
      </c>
      <c r="H93" s="5">
        <f t="shared" si="4"/>
        <v>25000</v>
      </c>
      <c r="I93" s="2" t="str">
        <f t="shared" si="5"/>
        <v>Unpaid</v>
      </c>
      <c r="J93" s="3" t="s">
        <v>14</v>
      </c>
      <c r="K93">
        <f>SUM(StudentFees[[#This Row],[Paid Fees]],StudentFees[[#This Row],[Remaining Fees]])</f>
        <v>25000</v>
      </c>
    </row>
    <row r="94" spans="1:11" x14ac:dyDescent="0.3">
      <c r="A94" s="2" t="s">
        <v>210</v>
      </c>
      <c r="B94" s="3" t="s">
        <v>211</v>
      </c>
      <c r="C94" s="3" t="s">
        <v>36</v>
      </c>
      <c r="D94" s="3" t="s">
        <v>39</v>
      </c>
      <c r="E94" s="4">
        <v>46253</v>
      </c>
      <c r="F94" s="5">
        <v>33000</v>
      </c>
      <c r="G94" s="5">
        <v>33000</v>
      </c>
      <c r="H94" s="5">
        <f t="shared" si="4"/>
        <v>0</v>
      </c>
      <c r="I94" s="2" t="str">
        <f t="shared" si="5"/>
        <v>Paid</v>
      </c>
      <c r="J94" s="3" t="s">
        <v>33</v>
      </c>
      <c r="K94">
        <f>SUM(StudentFees[[#This Row],[Paid Fees]],StudentFees[[#This Row],[Remaining Fees]])</f>
        <v>33000</v>
      </c>
    </row>
    <row r="95" spans="1:11" x14ac:dyDescent="0.3">
      <c r="A95" s="2" t="s">
        <v>212</v>
      </c>
      <c r="B95" s="3" t="s">
        <v>213</v>
      </c>
      <c r="C95" s="3" t="s">
        <v>36</v>
      </c>
      <c r="D95" s="3" t="s">
        <v>27</v>
      </c>
      <c r="E95" s="4">
        <v>46265</v>
      </c>
      <c r="F95" s="5">
        <v>43000</v>
      </c>
      <c r="G95" s="5">
        <v>43000</v>
      </c>
      <c r="H95" s="5">
        <f t="shared" si="4"/>
        <v>0</v>
      </c>
      <c r="I95" s="2" t="str">
        <f t="shared" si="5"/>
        <v>Paid</v>
      </c>
      <c r="J95" s="3" t="s">
        <v>14</v>
      </c>
      <c r="K95">
        <f>SUM(StudentFees[[#This Row],[Paid Fees]],StudentFees[[#This Row],[Remaining Fees]])</f>
        <v>43000</v>
      </c>
    </row>
    <row r="96" spans="1:11" x14ac:dyDescent="0.3">
      <c r="A96" s="2" t="s">
        <v>214</v>
      </c>
      <c r="B96" s="3" t="s">
        <v>215</v>
      </c>
      <c r="C96" s="3" t="s">
        <v>22</v>
      </c>
      <c r="D96" s="3" t="s">
        <v>23</v>
      </c>
      <c r="E96" s="4">
        <v>46271</v>
      </c>
      <c r="F96" s="5">
        <v>25000</v>
      </c>
      <c r="G96" s="5">
        <v>12500</v>
      </c>
      <c r="H96" s="5">
        <f t="shared" si="4"/>
        <v>12500</v>
      </c>
      <c r="I96" s="2" t="str">
        <f t="shared" si="5"/>
        <v>Partial</v>
      </c>
      <c r="J96" s="3" t="s">
        <v>33</v>
      </c>
      <c r="K96">
        <f>SUM(StudentFees[[#This Row],[Paid Fees]],StudentFees[[#This Row],[Remaining Fees]])</f>
        <v>25000</v>
      </c>
    </row>
    <row r="97" spans="1:11" x14ac:dyDescent="0.3">
      <c r="A97" s="2" t="s">
        <v>216</v>
      </c>
      <c r="B97" s="3" t="s">
        <v>217</v>
      </c>
      <c r="C97" s="3" t="s">
        <v>17</v>
      </c>
      <c r="D97" s="3" t="s">
        <v>27</v>
      </c>
      <c r="E97" s="4">
        <v>46284</v>
      </c>
      <c r="F97" s="5">
        <v>45000</v>
      </c>
      <c r="G97" s="5">
        <v>0</v>
      </c>
      <c r="H97" s="5">
        <f t="shared" si="4"/>
        <v>45000</v>
      </c>
      <c r="I97" s="2" t="str">
        <f t="shared" si="5"/>
        <v>Unpaid</v>
      </c>
      <c r="J97" s="3" t="s">
        <v>24</v>
      </c>
      <c r="K97">
        <f>SUM(StudentFees[[#This Row],[Paid Fees]],StudentFees[[#This Row],[Remaining Fees]])</f>
        <v>45000</v>
      </c>
    </row>
    <row r="98" spans="1:11" x14ac:dyDescent="0.3">
      <c r="A98" s="2" t="s">
        <v>218</v>
      </c>
      <c r="B98" s="3" t="s">
        <v>219</v>
      </c>
      <c r="C98" s="3" t="s">
        <v>12</v>
      </c>
      <c r="D98" s="3" t="s">
        <v>39</v>
      </c>
      <c r="E98" s="4">
        <v>46285</v>
      </c>
      <c r="F98" s="5">
        <v>36000</v>
      </c>
      <c r="G98" s="5">
        <v>0</v>
      </c>
      <c r="H98" s="5">
        <f t="shared" ref="H98:H129" si="6">F98-G98</f>
        <v>36000</v>
      </c>
      <c r="I98" s="2" t="str">
        <f t="shared" ref="I98:I129" si="7">IF(H98=0,"Paid",IF(G98=0,"Unpaid","Partial"))</f>
        <v>Unpaid</v>
      </c>
      <c r="J98" s="3" t="s">
        <v>19</v>
      </c>
      <c r="K98">
        <f>SUM(StudentFees[[#This Row],[Paid Fees]],StudentFees[[#This Row],[Remaining Fees]])</f>
        <v>36000</v>
      </c>
    </row>
    <row r="99" spans="1:11" x14ac:dyDescent="0.3">
      <c r="A99" s="2" t="s">
        <v>220</v>
      </c>
      <c r="B99" s="3" t="s">
        <v>221</v>
      </c>
      <c r="C99" s="3" t="s">
        <v>17</v>
      </c>
      <c r="D99" s="3" t="s">
        <v>18</v>
      </c>
      <c r="E99" s="4">
        <v>46292</v>
      </c>
      <c r="F99" s="5">
        <v>30000</v>
      </c>
      <c r="G99" s="5">
        <v>30000</v>
      </c>
      <c r="H99" s="5">
        <f t="shared" si="6"/>
        <v>0</v>
      </c>
      <c r="I99" s="2" t="str">
        <f t="shared" si="7"/>
        <v>Paid</v>
      </c>
      <c r="J99" s="3" t="s">
        <v>28</v>
      </c>
      <c r="K99">
        <f>SUM(StudentFees[[#This Row],[Paid Fees]],StudentFees[[#This Row],[Remaining Fees]])</f>
        <v>30000</v>
      </c>
    </row>
    <row r="100" spans="1:11" x14ac:dyDescent="0.3">
      <c r="A100" s="2" t="s">
        <v>222</v>
      </c>
      <c r="B100" s="3" t="s">
        <v>223</v>
      </c>
      <c r="C100" s="3" t="s">
        <v>17</v>
      </c>
      <c r="D100" s="3" t="s">
        <v>13</v>
      </c>
      <c r="E100" s="4">
        <v>46298</v>
      </c>
      <c r="F100" s="5">
        <v>40000</v>
      </c>
      <c r="G100" s="5">
        <v>16000</v>
      </c>
      <c r="H100" s="5">
        <f t="shared" si="6"/>
        <v>24000</v>
      </c>
      <c r="I100" s="2" t="str">
        <f t="shared" si="7"/>
        <v>Partial</v>
      </c>
      <c r="J100" s="3" t="s">
        <v>19</v>
      </c>
      <c r="K100">
        <f>SUM(StudentFees[[#This Row],[Paid Fees]],StudentFees[[#This Row],[Remaining Fees]])</f>
        <v>40000</v>
      </c>
    </row>
    <row r="101" spans="1:11" x14ac:dyDescent="0.3">
      <c r="A101" s="2" t="s">
        <v>224</v>
      </c>
      <c r="B101" s="3" t="s">
        <v>225</v>
      </c>
      <c r="C101" s="3" t="s">
        <v>47</v>
      </c>
      <c r="D101" s="3" t="s">
        <v>18</v>
      </c>
      <c r="E101" s="4">
        <v>46303</v>
      </c>
      <c r="F101" s="5">
        <v>30000</v>
      </c>
      <c r="G101" s="5">
        <v>30000</v>
      </c>
      <c r="H101" s="5">
        <f t="shared" si="6"/>
        <v>0</v>
      </c>
      <c r="I101" s="2" t="str">
        <f t="shared" si="7"/>
        <v>Paid</v>
      </c>
      <c r="J101" s="3" t="s">
        <v>14</v>
      </c>
      <c r="K101">
        <f>SUM(StudentFees[[#This Row],[Paid Fees]],StudentFees[[#This Row],[Remaining Fees]])</f>
        <v>30000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4952-BD73-4D1D-AF2A-B0FD8999A092}">
  <dimension ref="D12"/>
  <sheetViews>
    <sheetView showGridLines="0" tabSelected="1" topLeftCell="A2" zoomScale="39" zoomScaleNormal="61" workbookViewId="0">
      <selection activeCell="AZ40" sqref="AZ40"/>
    </sheetView>
  </sheetViews>
  <sheetFormatPr defaultRowHeight="14.4" x14ac:dyDescent="0.3"/>
  <cols>
    <col min="4" max="4" width="14" bestFit="1" customWidth="1"/>
  </cols>
  <sheetData>
    <row r="12" spans="4:4" x14ac:dyDescent="0.3">
      <c r="D1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F1A5-19BA-4E47-9777-8C0E794C0E5D}">
  <dimension ref="B3:C7"/>
  <sheetViews>
    <sheetView workbookViewId="0">
      <selection activeCell="E6" sqref="E6"/>
    </sheetView>
  </sheetViews>
  <sheetFormatPr defaultRowHeight="14.4" x14ac:dyDescent="0.3"/>
  <cols>
    <col min="2" max="2" width="16.33203125" customWidth="1"/>
    <col min="3" max="3" width="9.77734375" bestFit="1" customWidth="1"/>
  </cols>
  <sheetData>
    <row r="3" spans="2:3" x14ac:dyDescent="0.3">
      <c r="B3" s="12" t="s">
        <v>231</v>
      </c>
      <c r="C3" s="12"/>
    </row>
    <row r="4" spans="2:3" x14ac:dyDescent="0.3">
      <c r="B4" s="10" t="s">
        <v>226</v>
      </c>
      <c r="C4" s="10">
        <f>COUNTA((StudentFees[Reg Number]))</f>
        <v>100</v>
      </c>
    </row>
    <row r="5" spans="2:3" x14ac:dyDescent="0.3">
      <c r="B5" s="10" t="s">
        <v>227</v>
      </c>
      <c r="C5" s="11">
        <f>SUM(StudentFees[Total Fee])</f>
        <v>3568000</v>
      </c>
    </row>
    <row r="6" spans="2:3" x14ac:dyDescent="0.3">
      <c r="B6" s="10" t="s">
        <v>230</v>
      </c>
      <c r="C6" s="11">
        <f>SUM(StudentFees[Paid Fees])</f>
        <v>2255000</v>
      </c>
    </row>
    <row r="7" spans="2:3" x14ac:dyDescent="0.3">
      <c r="B7" s="10" t="s">
        <v>228</v>
      </c>
      <c r="C7" s="11">
        <f>SUM(StudentFees[Remaining Fees])</f>
        <v>1313000</v>
      </c>
    </row>
  </sheetData>
  <mergeCells count="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StudentFees</vt:lpstr>
      <vt:lpstr>Dashboard</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Pratiksha Dixit</cp:lastModifiedBy>
  <dcterms:created xsi:type="dcterms:W3CDTF">2026-10-19T07:22:33Z</dcterms:created>
  <dcterms:modified xsi:type="dcterms:W3CDTF">2026-10-19T11:21:12Z</dcterms:modified>
</cp:coreProperties>
</file>